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c79d0a97349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unnspill" sheetId="1" r:id="R61fc1ee437284410"/>
    <x:sheet xmlns:r="http://schemas.openxmlformats.org/officeDocument/2006/relationships" name="16f" sheetId="2" r:id="R5e7fa6c767494043"/>
    <x:sheet xmlns:r="http://schemas.openxmlformats.org/officeDocument/2006/relationships" name="8f" sheetId="3" r:id="R14df83f68e964d3f"/>
    <x:sheet xmlns:r="http://schemas.openxmlformats.org/officeDocument/2006/relationships" name="4f" sheetId="4" r:id="R4a6df90e5c384035"/>
    <x:sheet xmlns:r="http://schemas.openxmlformats.org/officeDocument/2006/relationships" name="2f" sheetId="5" r:id="Rb3738da97df944e3"/>
    <x:sheet xmlns:r="http://schemas.openxmlformats.org/officeDocument/2006/relationships" name="Finale" sheetId="6" r:id="R6ab44104212b4435"/>
    <x:sheet xmlns:r="http://schemas.openxmlformats.org/officeDocument/2006/relationships" name="Annex" sheetId="7" r:id="R44636b227e08474d"/>
  </x:sheets>
  <x:calcPr calcMode="auto" fullCalcOnLoad="1" forceFullCalc="1"/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<x:sst xmlns:x="http://schemas.openxmlformats.org/spreadsheetml/2006/main">
  <x:si>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Navn</x:t>
  </x:si>
  <x:si>
    <x:t xml:space="preserve">Gruppe</x:t>
  </x:si>
  <x:si>
    <x:t xml:space="preserve">Nasjon / lag</x:t>
  </x:si>
  <x:si>
    <x:t xml:space="preserve">Plass 
(1 til 4)</x:t>
  </x:si>
  <x:si>
    <x:t xml:space="preserve">Beste treer (merk m/ 1)</x:t>
  </x:si>
  <x:si>
    <x:t xml:space="preserve">Enere</x:t>
  </x:si>
  <x:si>
    <x:t xml:space="preserve">Sortert tabell</x:t>
  </x:si>
  <x:si>
    <x:t xml:space="preserve">Toere</x:t>
  </x:si>
  <x:si>
    <x:t xml:space="preserve">Beste treere</x:t>
  </x:si>
  <x:si>
    <x:t xml:space="preserve">A</x:t>
  </x:si>
  <x:si>
    <x:t xml:space="preserve">Mexico</x:t>
  </x:si>
  <x:si>
    <x:t xml:space="preserve">Sør-Afrika</x:t>
  </x:si>
  <x:si>
    <x:t xml:space="preserve">Sør-Korea</x:t>
  </x:si>
  <x:si>
    <x:t xml:space="preserve">Tsjekkia</x:t>
  </x:si>
  <x:si>
    <x:t xml:space="preserve">B</x:t>
  </x:si>
  <x:si>
    <x:t xml:space="preserve">Canada</x:t>
  </x:si>
  <x:si>
    <x:t xml:space="preserve">Bosnia-Hercegovina</x:t>
  </x:si>
  <x:si>
    <x:t xml:space="preserve">Qatar</x:t>
  </x:si>
  <x:si>
    <x:t xml:space="preserve">Sveits</x:t>
  </x:si>
  <x:si>
    <x:t xml:space="preserve">C</x:t>
  </x:si>
  <x:si>
    <x:t xml:space="preserve">Brasil</x:t>
  </x:si>
  <x:si>
    <x:t xml:space="preserve">Marokko</x:t>
  </x:si>
  <x:si>
    <x:t xml:space="preserve">Skottland</x:t>
  </x:si>
  <x:si>
    <x:t xml:space="preserve">Haiti</x:t>
  </x:si>
  <x:si>
    <x:t xml:space="preserve">D</x:t>
  </x:si>
  <x:si>
    <x:t xml:space="preserve">USA</x:t>
  </x:si>
  <x:si>
    <x:t xml:space="preserve">Paraguay</x:t>
  </x:si>
  <x:si>
    <x:t xml:space="preserve">Australia</x:t>
  </x:si>
  <x:si>
    <x:t xml:space="preserve">Tyrkia</x:t>
  </x:si>
  <x:si>
    <x:t xml:space="preserve">E</x:t>
  </x:si>
  <x:si>
    <x:t xml:space="preserve">Tyskland</x:t>
  </x:si>
  <x:si>
    <x:t xml:space="preserve">Ecuador</x:t>
  </x:si>
  <x:si>
    <x:t xml:space="preserve">Elfenbenskysten</x:t>
  </x:si>
  <x:si>
    <x:t xml:space="preserve">Curaçao</x:t>
  </x:si>
  <x:si>
    <x:t xml:space="preserve">F</x:t>
  </x:si>
  <x:si>
    <x:t xml:space="preserve">Nederland</x:t>
  </x:si>
  <x:si>
    <x:t xml:space="preserve">Japan</x:t>
  </x:si>
  <x:si>
    <x:t xml:space="preserve">Tunisia</x:t>
  </x:si>
  <x:si>
    <x:t xml:space="preserve">Sverige</x:t>
  </x:si>
  <x:si>
    <x:t xml:space="preserve">G</x:t>
  </x:si>
  <x:si>
    <x:t xml:space="preserve">Belgia</x:t>
  </x:si>
  <x:si>
    <x:t xml:space="preserve">Iran</x:t>
  </x:si>
  <x:si>
    <x:t xml:space="preserve">Egypt</x:t>
  </x:si>
  <x:si>
    <x:t xml:space="preserve">New Zealand</x:t>
  </x:si>
  <x:si>
    <x:t xml:space="preserve">H</x:t>
  </x:si>
  <x:si>
    <x:t xml:space="preserve">Spania</x:t>
  </x:si>
  <x:si>
    <x:t xml:space="preserve">Uruguay</x:t>
  </x:si>
  <x:si>
    <x:t xml:space="preserve">Saudi-Arabia</x:t>
  </x:si>
  <x:si>
    <x:t xml:space="preserve">Kapp Verde</x:t>
  </x:si>
  <x:si>
    <x:t xml:space="preserve">I</x:t>
  </x:si>
  <x:si>
    <x:t xml:space="preserve">Frankrike</x:t>
  </x:si>
  <x:si>
    <x:t xml:space="preserve">Senegal</x:t>
  </x:si>
  <x:si>
    <x:t xml:space="preserve">Norge</x:t>
  </x:si>
  <x:si>
    <x:t xml:space="preserve">Irak</x:t>
  </x:si>
  <x:si>
    <x:t xml:space="preserve">J</x:t>
  </x:si>
  <x:si>
    <x:t xml:space="preserve">Argentina</x:t>
  </x:si>
  <x:si>
    <x:t xml:space="preserve">Algerie</x:t>
  </x:si>
  <x:si>
    <x:t xml:space="preserve">Østerrike</x:t>
  </x:si>
  <x:si>
    <x:t xml:space="preserve">Jordan</x:t>
  </x:si>
  <x:si>
    <x:t xml:space="preserve">K</x:t>
  </x:si>
  <x:si>
    <x:t xml:space="preserve">Portugal</x:t>
  </x:si>
  <x:si>
    <x:t xml:space="preserve">DR Kongo</x:t>
  </x:si>
  <x:si>
    <x:t xml:space="preserve">Usbekistan</x:t>
  </x:si>
  <x:si>
    <x:t xml:space="preserve">Colombia</x:t>
  </x:si>
  <x:si>
    <x:t xml:space="preserve">L</x:t>
  </x:si>
  <x:si>
    <x:t xml:space="preserve">England</x:t>
  </x:si>
  <x:si>
    <x:t xml:space="preserve">Kroatia</x:t>
  </x:si>
  <x:si>
    <x:t xml:space="preserve">Ghana</x:t>
  </x:si>
  <x:si>
    <x:t xml:space="preserve">Panama</x:t>
  </x:si>
  <x:si>
    <x:t xml:space="preserve">Kamp</x:t>
  </x:si>
  <x:si>
    <x:t xml:space="preserve">Hjemme</x:t>
  </x:si>
  <x:si>
    <x:t xml:space="preserve">Borte</x:t>
  </x:si>
  <x:si>
    <x:t xml:space="preserve">HB</x:t>
  </x:si>
  <x:si>
    <x:t xml:space="preserve">Vinner</x:t>
  </x:si>
  <x:si>
    <x:t xml:space="preserve">2A</x:t>
  </x:si>
  <x:si>
    <x:t xml:space="preserve">2B</x:t>
  </x:si>
  <x:si>
    <x:t xml:space="preserve">1E</x:t>
  </x:si>
  <x:si>
    <x:t xml:space="preserve">1F</x:t>
  </x:si>
  <x:si>
    <x:t xml:space="preserve">2C</x:t>
  </x:si>
  <x:si>
    <x:t xml:space="preserve">1C</x:t>
  </x:si>
  <x:si>
    <x:t xml:space="preserve">2F</x:t>
  </x:si>
  <x:si>
    <x:t xml:space="preserve">1I</x:t>
  </x:si>
  <x:si>
    <x:t xml:space="preserve">2E</x:t>
  </x:si>
  <x:si>
    <x:t xml:space="preserve">2I</x:t>
  </x:si>
  <x:si>
    <x:t xml:space="preserve">1A</x:t>
  </x:si>
  <x:si>
    <x:t xml:space="preserve">1L</x:t>
  </x:si>
  <x:si>
    <x:t xml:space="preserve">1D</x:t>
  </x:si>
  <x:si>
    <x:t xml:space="preserve">1G</x:t>
  </x:si>
  <x:si>
    <x:t xml:space="preserve">2K</x:t>
  </x:si>
  <x:si>
    <x:t xml:space="preserve">2L</x:t>
  </x:si>
  <x:si>
    <x:t xml:space="preserve">1H</x:t>
  </x:si>
  <x:si>
    <x:t xml:space="preserve">2J</x:t>
  </x:si>
  <x:si>
    <x:t xml:space="preserve">1B</x:t>
  </x:si>
  <x:si>
    <x:t xml:space="preserve">1J</x:t>
  </x:si>
  <x:si>
    <x:t xml:space="preserve">2H</x:t>
  </x:si>
  <x:si>
    <x:t xml:space="preserve">1K</x:t>
  </x:si>
  <x:si>
    <x:t xml:space="preserve">2D</x:t>
  </x:si>
  <x:si>
    <x:t xml:space="preserve">2G</x:t>
  </x:si>
  <x:si>
    <x:t xml:space="preserve">Option</x:t>
  </x:si>
  <x:si>
    <x:t xml:space="preserve">Valg av sekvens for treerne</x:t>
  </x:si>
  <x:si>
    <x:t xml:space="preserve">Dette er oversikten over alle mulige kombinasjoner av treere. Norge kan havne på 6 forskjellige steder i dette oppsettet</x:t>
  </x:si>
  <x:si>
    <x:t xml:space="preserve">Med en tredjeplass kan vi få vinneren av en av seks grupper. Tabllen viser gruppene, og hvor mange varianter som sender oss mot respektive motstander</x:t>
  </x:si>
  <x:si>
    <x:t xml:space="preserve">Avven</x:t>
  </x:si>
  <x:si>
    <x:t xml:space="preserve">ter dit</x:t>
  </x:si>
  <x:si>
    <x:t xml:space="preserve">t valg a</x:t>
  </x:si>
  <x:si>
    <x:t xml:space="preserve">v åtte  </x:t>
  </x:si>
  <x:si>
    <x:t xml:space="preserve">beste</x:t>
  </x:si>
  <x:si>
    <x:t xml:space="preserve">treere</x:t>
  </x:si>
  <x:si>
    <x:t xml:space="preserve">. Stå p</x:t>
  </x:si>
  <x:si>
    <x:t xml:space="preserve">å! Tipp</x:t>
  </x:si>
  <x:si>
    <x:t xml:space="preserve">Dvs. 113 av 495 kombinasjoner av 3-ere gir vinneren av Englands gruppe som motstander for 3 i vår gruppe I</x:t>
  </x:si>
  <x:si>
    <x:t xml:space="preserve">3E</x:t>
  </x:si>
  <x:si>
    <x:t xml:space="preserve">3J</x:t>
  </x:si>
  <x:si>
    <x:t xml:space="preserve">3I</x:t>
  </x:si>
  <x:si>
    <x:t xml:space="preserve">3F</x:t>
  </x:si>
  <x:si>
    <x:t xml:space="preserve">3H</x:t>
  </x:si>
  <x:si>
    <x:t xml:space="preserve">3G</x:t>
  </x:si>
  <x:si>
    <x:t xml:space="preserve">3L</x:t>
  </x:si>
  <x:si>
    <x:t xml:space="preserve">3K</x:t>
  </x:si>
  <x:si>
    <x:t xml:space="preserve">Det er 330 varianter som har med 3-eren i pulje I. Hvilken kombinasjon som blir gjeldende blir altså ikke bestemt før siste kamp er ferdig. </x:t>
  </x:si>
  <x:si>
    <x:t xml:space="preserve">3D</x:t>
  </x:si>
  <x:si>
    <x:t xml:space="preserve">3C</x:t>
  </x:si>
  <x:si>
    <x:t xml:space="preserve">I kollone J vil det komme opp ett 8-tall. Det er den fordelingen som blir satt inn i B2:I2</x:t>
  </x:si>
  <x:si>
    <x:t xml:space="preserve">I B1:I1 står åtte vinnerlag</x:t>
  </x:si>
  <x:si>
    <x:t xml:space="preserve">3B</x:t>
  </x:si>
  <x:si>
    <x:t xml:space="preserve">3A</x:t>
  </x:si>
</x:sst>
</file>

<file path=xl/styles.xml><?xml version="1.0" encoding="utf-8"?>
<x:styleSheet xmlns:x="http://schemas.openxmlformats.org/spreadsheetml/2006/main">
  <x:numFmts count="1">
    <x:numFmt numFmtId="43" formatCode="_-* #,##0.00_-;\-* #,##0.00_-;_-* &quot;-&quot;??_-;_-@_-"/>
  </x:numFmts>
  <x:fonts count="11">
    <x:font>
      <x:sz val="11"/>
      <x:color theme="1"/>
      <x:name val="Aptos Narrow"/>
    </x:font>
    <x:font>
      <x:sz val="11"/>
      <x:color theme="1"/>
      <x:name val="Aptos Narrow"/>
    </x:font>
    <x:font>
      <x:sz val="11"/>
      <x:color rgb="FF3F3F76"/>
      <x:name val="Aptos Narrow"/>
    </x:font>
    <x:font>
      <x:sz val="8"/>
      <x:color theme="1"/>
      <x:name val="Aptos Narrow"/>
    </x:font>
    <x:font>
      <x:sz val="11"/>
      <x:color theme="0" tint="-0.04999"/>
      <x:name val="Aptos Narrow"/>
    </x:font>
    <x:font>
      <x:sz val="11"/>
      <x:color theme="4" tint="0.79998"/>
      <x:name val="Aptos Narrow"/>
    </x:font>
    <x:font>
      <x:sz val="11"/>
      <x:color theme="9" tint="0.79998"/>
      <x:name val="Aptos Narrow"/>
    </x:font>
    <x:font>
      <x:sz val="11"/>
      <x:color rgb="FFFF0000"/>
      <x:name val="Aptos Narrow"/>
    </x:font>
    <x:font>
      <x:i/>
      <x:sz val="11"/>
      <x:color theme="1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</x:fonts>
  <x:fills count="8">
    <x:fill>
      <x:patternFill patternType="none"/>
    </x:fill>
    <x:fill>
      <x:patternFill patternType="gray125"/>
    </x:fill>
    <x:fill>
      <x:patternFill patternType="solid">
        <x:fgColor rgb="FFFFCC99"/>
      </x:patternFill>
    </x:fill>
    <x:fill>
      <x:patternFill patternType="solid">
        <x:fgColor theme="9" tint="0.79998"/>
      </x:patternFill>
    </x:fill>
    <x:fill>
      <x:patternFill patternType="solid">
        <x:fgColor theme="6"/>
      </x:patternFill>
    </x:fill>
    <x:fill>
      <x:patternFill patternType="solid">
        <x:fgColor theme="7" tint="0.79998"/>
      </x:patternFill>
    </x:fill>
    <x:fill>
      <x:patternFill patternType="solid">
        <x:fgColor theme="3"/>
      </x:patternFill>
    </x:fill>
    <x:fill>
      <x:patternFill patternType="solid">
        <x:fgColor theme="0"/>
      </x:patternFill>
    </x:fill>
  </x:fills>
  <x:borders count="11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right style="thin">
        <x:color theme="0" tint="-0.14997"/>
      </x:right>
      <x:bottom style="thin">
        <x:color theme="0" tint="-0.14997"/>
      </x:bottom>
    </x:border>
    <x:border>
      <x:left style="thin">
        <x:color theme="0" tint="-0.14997"/>
      </x:left>
      <x:right style="thin">
        <x:color theme="0" tint="-0.14997"/>
      </x:right>
      <x:bottom style="thin">
        <x:color theme="0" tint="-0.14997"/>
      </x:bottom>
    </x:border>
    <x:border>
      <x:left style="thin">
        <x:color theme="0" tint="-0.14997"/>
      </x:left>
      <x:bottom style="thin">
        <x:color theme="0" tint="-0.14997"/>
      </x:bottom>
    </x:border>
    <x:border>
      <x:right style="thin">
        <x:color theme="0" tint="-0.14997"/>
      </x:right>
      <x:top style="thin">
        <x:color theme="0" tint="-0.14997"/>
      </x:top>
      <x:bottom style="thin">
        <x:color theme="0" tint="-0.14997"/>
      </x:bottom>
    </x:border>
    <x:border>
      <x:left style="thin">
        <x:color theme="0" tint="-0.14997"/>
      </x:left>
      <x:right style="thin">
        <x:color theme="0" tint="-0.14997"/>
      </x:right>
      <x:top style="thin">
        <x:color theme="0" tint="-0.14997"/>
      </x:top>
      <x:bottom style="thin">
        <x:color theme="0" tint="-0.14997"/>
      </x:bottom>
    </x:border>
    <x:border>
      <x:left style="thin">
        <x:color theme="0" tint="-0.14997"/>
      </x:left>
      <x:top style="thin">
        <x:color theme="0" tint="-0.14997"/>
      </x:top>
      <x:bottom style="thin">
        <x:color theme="0" tint="-0.14997"/>
      </x:bottom>
    </x:border>
    <x:border>
      <x:right style="thin">
        <x:color theme="0" tint="-0.14997"/>
      </x:right>
      <x:top style="thin">
        <x:color theme="0" tint="-0.14997"/>
      </x:top>
    </x:border>
    <x:border>
      <x:left style="thin">
        <x:color theme="0" tint="-0.14997"/>
      </x:left>
      <x:right style="thin">
        <x:color theme="0" tint="-0.14997"/>
      </x:right>
      <x:top style="thin">
        <x:color theme="0" tint="-0.14997"/>
      </x:top>
    </x:border>
    <x:border>
      <x:left style="thin">
        <x:color theme="0" tint="-0.14997"/>
      </x:left>
      <x:top style="thin">
        <x:color theme="0" tint="-0.14997"/>
      </x:top>
    </x:border>
  </x:borders>
  <x:cellStyleXfs count="2">
    <x:xf numFmtId="0" fontId="0" fillId="0" borderId="0"/>
    <x:xf numFmtId="43" fontId="1" fillId="0" borderId="0" applyFont="0" applyFill="0" applyBorder="0" applyAlignment="0" applyProtection="0"/>
  </x:cellStyleXfs>
  <x:cellXfs count="48">
    <x:xf numFmtId="0" fontId="0" fillId="0" borderId="0" xfId="0"/>
    <x:xf numFmtId="0" fontId="0" fillId="0" borderId="0" xfId="0" applyAlignment="1">
      <x:alignment horizont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0" fillId="3" borderId="0" xfId="0" applyFill="1"/>
    <x:xf numFmtId="0" fontId="0" fillId="3" borderId="0" xfId="0" applyFill="1" applyAlignment="1">
      <x:alignment horizontal="center"/>
    </x:xf>
    <x:xf numFmtId="0" fontId="3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left"/>
    </x:xf>
    <x:xf numFmtId="0" fontId="3" fillId="0" borderId="0" xfId="0" applyFont="1" applyAlignment="1">
      <x:alignment horizontal="center"/>
    </x:xf>
    <x:xf numFmtId="43" fontId="0" fillId="0" borderId="0" xfId="1" applyFont="1"/>
    <x:xf numFmtId="0" fontId="0" fillId="5" borderId="0" xfId="0" applyFill="1"/>
    <x:xf numFmtId="43" fontId="0" fillId="0" borderId="0" xfId="1" applyFont="1" applyAlignment="1">
      <x:alignment horizontal="center"/>
    </x:xf>
    <x:xf numFmtId="43" fontId="2" fillId="2" borderId="1" xfId="1" applyFont="1" applyFill="1" applyBorder="1" applyAlignment="1">
      <x:alignment horizontal="center"/>
    </x:xf>
    <x:xf numFmtId="0" fontId="0" fillId="3" borderId="3" xfId="0" applyFill="1" applyBorder="1" applyAlignment="1">
      <x:alignment horizontal="center"/>
    </x:xf>
    <x:xf numFmtId="0" fontId="0" fillId="3" borderId="4" xfId="0" applyFill="1" applyBorder="1" applyAlignment="1">
      <x:alignment horizontal="center"/>
    </x:xf>
    <x:xf numFmtId="0" fontId="0" fillId="3" borderId="6" xfId="0" applyFill="1" applyBorder="1" applyAlignment="1">
      <x:alignment horizontal="center"/>
    </x:xf>
    <x:xf numFmtId="0" fontId="0" fillId="3" borderId="7" xfId="0" applyFill="1" applyBorder="1" applyAlignment="1">
      <x:alignment horizontal="center"/>
    </x:xf>
    <x:xf numFmtId="0" fontId="0" fillId="0" borderId="6" xfId="0" applyBorder="1" applyAlignment="1">
      <x:alignment horizontal="center"/>
    </x:xf>
    <x:xf numFmtId="0" fontId="0" fillId="0" borderId="7" xfId="0" applyBorder="1" applyAlignment="1">
      <x:alignment horizontal="center"/>
    </x:xf>
    <x:xf numFmtId="0" fontId="0" fillId="0" borderId="9" xfId="0" applyBorder="1" applyAlignment="1">
      <x:alignment horizontal="center"/>
    </x:xf>
    <x:xf numFmtId="0" fontId="0" fillId="0" borderId="10" xfId="0" applyBorder="1" applyAlignment="1">
      <x:alignment horizontal="center"/>
    </x:xf>
    <x:xf numFmtId="0" fontId="8" fillId="5" borderId="0" xfId="0" applyFont="1" applyFill="1"/>
    <x:xf numFmtId="0" fontId="8" fillId="0" borderId="0" xfId="0" applyFont="1"/>
    <x:xf numFmtId="0" fontId="4" fillId="4" borderId="0" xfId="0" applyFont="1" applyFill="1" applyAlignment="1">
      <x:alignment horizontal="center"/>
    </x:xf>
    <x:xf numFmtId="43" fontId="4" fillId="4" borderId="0" xfId="1" applyFont="1" applyFill="1" applyAlignment="1">
      <x:alignment horizontal="center"/>
    </x:xf>
    <x:xf numFmtId="43" fontId="4" fillId="4" borderId="0" xfId="1" applyFont="1" applyFill="1" applyAlignment="1">
      <x:alignment horizontal="center"/>
    </x:xf>
    <x:xf numFmtId="0" fontId="0" fillId="0" borderId="0" xfId="0" applyAlignment="1">
      <x:alignment horizontal="left"/>
    </x:xf>
    <x:xf numFmtId="0" fontId="7" fillId="0" borderId="0" xfId="0" applyFont="1" applyAlignment="1">
      <x:alignment horizontal="left"/>
    </x:xf>
    <x:xf numFmtId="0" fontId="0" fillId="0" borderId="0" xfId="0" applyAlignment="1">
      <x:alignment horizontal="left" vertical="center" wrapText="1"/>
    </x:xf>
    <x:xf numFmtId="0" fontId="7" fillId="0" borderId="0" xfId="0" applyFont="1" applyAlignment="1">
      <x:alignment horizontal="left" vertical="center" wrapText="1"/>
    </x:xf>
    <x:xf numFmtId="43" fontId="0" fillId="3" borderId="3" xfId="1" applyFont="1" applyFill="1" applyBorder="1"/>
    <x:xf numFmtId="43" fontId="0" fillId="3" borderId="6" xfId="1" applyFont="1" applyFill="1" applyBorder="1"/>
    <x:xf numFmtId="43" fontId="0" fillId="0" borderId="6" xfId="1" applyFont="1" applyBorder="1"/>
    <x:xf numFmtId="43" fontId="0" fillId="0" borderId="9" xfId="1" applyFont="1" applyBorder="1"/>
    <x:xf numFmtId="0" fontId="6" fillId="4" borderId="0" xfId="0" applyFont="1" applyFill="1" applyAlignment="1">
      <x:alignment horizontal="center" vertical="center" wrapText="1"/>
    </x:xf>
    <x:xf numFmtId="0" fontId="4" fillId="4" borderId="0" xfId="0" applyFont="1" applyFill="1" applyAlignment="1">
      <x:alignment horizontal="center" vertical="center" wrapText="1"/>
    </x:xf>
    <x:xf numFmtId="0" fontId="5" fillId="6" borderId="0" xfId="0" applyFont="1" applyFill="1" applyAlignment="1">
      <x:alignment horizontal="center"/>
    </x:xf>
    <x:xf numFmtId="0" fontId="0" fillId="5" borderId="0" xfId="0" applyFill="1" applyAlignment="1">
      <x:alignment horizontal="center" vertical="center"/>
    </x:xf>
    <x:xf numFmtId="0" fontId="0" fillId="7" borderId="0" xfId="0" applyFill="1" applyAlignment="1">
      <x:alignment horizontal="center" vertical="center"/>
    </x:xf>
    <x:xf numFmtId="0" fontId="0" fillId="3" borderId="2" xfId="0" applyFill="1" applyBorder="1" applyAlignment="1">
      <x:alignment horizontal="center" vertical="center"/>
    </x:xf>
    <x:xf numFmtId="0" fontId="0" fillId="3" borderId="5" xfId="0" applyFill="1" applyBorder="1" applyAlignment="1">
      <x:alignment horizontal="center" vertical="center"/>
    </x:xf>
    <x:xf numFmtId="0" fontId="0" fillId="7" borderId="5" xfId="0" applyFill="1" applyBorder="1" applyAlignment="1">
      <x:alignment horizontal="center" vertical="center"/>
    </x:xf>
    <x:xf numFmtId="0" fontId="0" fillId="7" borderId="8" xfId="0" applyFill="1" applyBorder="1" applyAlignment="1">
      <x:alignment horizontal="center" vertical="center"/>
    </x:xf>
    <x:xf numFmtId="0" fontId="9" fillId="0" borderId="0" xfId="0" applyFont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right" vertical="center" wrapText="1"/>
    </x:xf>
    <x:xf numFmtId="0" fontId="9" fillId="0" borderId="0" xfId="0" applyFont="1" applyAlignment="1">
      <x:alignment horizontal="right" vertical="center" wrapText="1"/>
    </x:xf>
    <x:xf numFmtId="0" fontId="10" fillId="0" borderId="0" xfId="0" applyFont="1" applyAlignment="1">
      <x:alignment horizontal="center"/>
    </x:xf>
  </x:cellXfs>
  <x:cellStyles count="2">
    <x:cellStyle name="Komma" xfId="1"/>
    <x:cellStyle name="Normal" xfId="0"/>
  </x:cellStyles>
  <x:dxfs count="14">
    <x:dxf>
      <x:fill>
        <x:patternFill>
          <x:bgColor theme="9" tint="0.59996"/>
        </x:patternFill>
      </x:fill>
    </x:dxf>
    <x:dxf>
      <x:font>
        <x:color rgb="FF006100"/>
      </x:font>
      <x:fill>
        <x:patternFill>
          <x:bgColor rgb="FFC6EFCE"/>
        </x:patternFill>
      </x:fill>
    </x:dxf>
    <x:dxf/>
    <x:dxf/>
    <x:dxf/>
    <x:dxf/>
    <x:dxf/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1d99f1613b4a45" /><Relationship Type="http://schemas.openxmlformats.org/officeDocument/2006/relationships/theme" Target="/xl/theme/theme1.xml" Id="Rdf4b38a07ec64eef" /><Relationship Type="http://schemas.openxmlformats.org/officeDocument/2006/relationships/sheetMetadata" Target="/xl/metadata1.xml" Id="Rfdac389553264543" /><Relationship Type="http://schemas.openxmlformats.org/officeDocument/2006/relationships/sharedStrings" Target="/xl/sharedStrings.xml" Id="R474c9506136c4e28" /><Relationship Type="http://schemas.openxmlformats.org/officeDocument/2006/relationships/worksheet" Target="/xl/worksheets/sheet1.xml" Id="R61fc1ee437284410" /><Relationship Type="http://schemas.openxmlformats.org/officeDocument/2006/relationships/worksheet" Target="/xl/worksheets/sheet2.xml" Id="R5e7fa6c767494043" /><Relationship Type="http://schemas.openxmlformats.org/officeDocument/2006/relationships/worksheet" Target="/xl/worksheets/sheet3.xml" Id="R14df83f68e964d3f" /><Relationship Type="http://schemas.openxmlformats.org/officeDocument/2006/relationships/worksheet" Target="/xl/worksheets/sheet4.xml" Id="R4a6df90e5c384035" /><Relationship Type="http://schemas.openxmlformats.org/officeDocument/2006/relationships/worksheet" Target="/xl/worksheets/sheet5.xml" Id="Rb3738da97df944e3" /><Relationship Type="http://schemas.openxmlformats.org/officeDocument/2006/relationships/worksheet" Target="/xl/worksheets/sheet6.xml" Id="R6ab44104212b4435" /><Relationship Type="http://schemas.openxmlformats.org/officeDocument/2006/relationships/worksheet" Target="/xl/worksheets/sheet7.xml" Id="R44636b227e08474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0.81640625" defaultRowHeight="14.5"/>
  <x:cols>
    <x:col min="1" max="1" width="10.81640625" hidden="1" customWidth="1"/>
    <x:col min="2" max="2" width="11.1796875" style="1" hidden="1" customWidth="1"/>
    <x:col min="3" max="3" width="8.7265625" style="1" customWidth="1"/>
    <x:col min="4" max="4" width="24.81640625" customWidth="1"/>
    <x:col min="5" max="6" width="8.26953125" style="1" customWidth="1"/>
    <x:col min="7" max="7" width="4.1796875" customWidth="1"/>
    <x:col min="8" max="8" width="6.54296875" customWidth="1"/>
    <x:col min="9" max="9" width="16.54296875" customWidth="1"/>
    <x:col min="10" max="10" width="3.453125" customWidth="1"/>
    <x:col min="11" max="11" width="15.81640625" customWidth="1"/>
    <x:col min="12" max="12" width="5.54296875" style="1" customWidth="1"/>
    <x:col min="13" max="13" width="20.81640625" customWidth="1"/>
  </x:cols>
  <x:sheetData>
    <x:row r="1">
      <x:c r="A1" s="35" t="s">
        <x:v>0</x:v>
      </x:c>
      <x:c r="B1" s="34" t="s">
        <x:v>1</x:v>
      </x:c>
      <x:c r="C1" s="34" t="s">
        <x:v>1</x:v>
      </x:c>
      <x:c r="D1" s="34" t="s">
        <x:v>2</x:v>
      </x:c>
      <x:c r="E1" s="34" t="s">
        <x:v>3</x:v>
      </x:c>
      <x:c r="F1" s="34" t="s">
        <x:v>4</x:v>
      </x:c>
      <x:c r="H1" s="7"/>
      <x:c r="K1" s="26" t="s">
        <x:v>5</x:v>
      </x:c>
      <x:c r="L1" s="1" t="n">
        <x:f>COUNTIFS(E:E,1)</x:f>
        <x:v>12</x:v>
      </x:c>
      <x:c r="M1" s="27" t="str">
        <x:f>IF(L1=12,"OK","Ikke ferdig")</x:f>
        <x:v>OK</x:v>
      </x:c>
    </x:row>
    <x:row r="2">
      <x:c r="A2" s="35"/>
      <x:c r="B2" s="34"/>
      <x:c r="C2" s="34"/>
      <x:c r="D2" s="34"/>
      <x:c r="E2" s="34"/>
      <x:c r="F2" s="34"/>
      <x:c r="H2" s="36" t="s">
        <x:v>6</x:v>
      </x:c>
      <x:c r="I2" s="36"/>
      <x:c r="K2" s="26" t="s">
        <x:v>7</x:v>
      </x:c>
      <x:c r="L2" s="1" t="n">
        <x:f>COUNTIFS(E:E,2)</x:f>
        <x:v>12</x:v>
      </x:c>
      <x:c r="M2" s="27" t="str">
        <x:f>IF(L2=12,"OK","Ikke ferdig")</x:f>
        <x:v>OK</x:v>
      </x:c>
    </x:row>
    <x:row r="3" s="3" customFormat="1">
      <x:c r="A3" s="35"/>
      <x:c r="B3" s="34"/>
      <x:c r="C3" s="34"/>
      <x:c r="D3" s="34"/>
      <x:c r="E3" s="34"/>
      <x:c r="F3" s="34"/>
      <x:c r="H3" s="36"/>
      <x:c r="I3" s="36"/>
      <x:c r="K3" s="28" t="s">
        <x:v>8</x:v>
      </x:c>
      <x:c r="L3" s="1" t="n">
        <x:f>COUNTIFS(F:F,1)</x:f>
        <x:v>8</x:v>
      </x:c>
      <x:c r="M3" s="29" t="str">
        <x:f>IF(L3=8,"OK","Ikke ferdig")</x:f>
        <x:v>OK</x:v>
      </x:c>
    </x:row>
    <x:row r="4">
      <x:c r="A4" s="4" t="str">
        <x:f>IF(E4&lt;3,E4,IF(F4=1,E4,""))&amp;B4</x:f>
        <x:v>1A</x:v>
      </x:c>
      <x:c r="B4" s="5" t="s">
        <x:v>9</x:v>
      </x:c>
      <x:c r="C4" s="39" t="str">
        <x:f>+$B4</x:f>
        <x:v>A</x:v>
      </x:c>
      <x:c r="D4" s="30" t="s">
        <x:v>10</x:v>
      </x:c>
      <x:c r="E4" s="13" t="n">
        <x:v>1</x:v>
      </x:c>
      <x:c r="F4" s="14"/>
      <x:c r="G4" t="str">
        <x:f>IF(AND(F4=1,E4&lt;&gt;3),"skjerpings på treerne","")</x:f>
      </x:c>
      <x:c r="H4" s="37" t="str">
        <x:f>+$B4</x:f>
        <x:v>A</x:v>
      </x:c>
      <x:c r="I4" s="10" t="str" cm="1">
        <x:f t="array" ref="I4:I7">_xlfn.SORTBY(D4:D7,E4:E7)</x:f>
        <x:v>Mexico</x:v>
      </x:c>
      <x:c r="K4" t="n">
        <x:f>+G4</x:f>
        <x:v>0</x:v>
      </x:c>
      <x:c r="L4" s="8"/>
    </x:row>
    <x:row r="5">
      <x:c r="A5" s="4" t="str">
        <x:f t="shared" ref="A5:A51" si="0">IF(E5&lt;3,E5,IF(F5=1,E5,""))&amp;B5</x:f>
        <x:v>A</x:v>
      </x:c>
      <x:c r="B5" s="5" t="s">
        <x:v>9</x:v>
      </x:c>
      <x:c r="C5" s="40"/>
      <x:c r="D5" s="31" t="s">
        <x:v>11</x:v>
      </x:c>
      <x:c r="E5" s="15" t="n">
        <x:v>4</x:v>
      </x:c>
      <x:c r="F5" s="16"/>
      <x:c r="G5" t="str">
        <x:f t="shared" ref="G5:G51" si="1">IF(AND(F5=1,E5&lt;&gt;3),"skjerpings på treerne","")</x:f>
      </x:c>
      <x:c r="H5" s="37"/>
      <x:c r="I5" s="10" t="str">
        <x:v>Sør-Korea</x:v>
      </x:c>
      <x:c r="K5" t="n">
        <x:f t="shared" ref="K5:K51" si="2">+G5</x:f>
        <x:v>0</x:v>
      </x:c>
      <x:c r="L5" s="6"/>
    </x:row>
    <x:row r="6">
      <x:c r="A6" s="4" t="str">
        <x:f t="shared" si="0"/>
        <x:v>A</x:v>
      </x:c>
      <x:c r="B6" s="5" t="s">
        <x:v>9</x:v>
      </x:c>
      <x:c r="C6" s="40"/>
      <x:c r="D6" s="31" t="s">
        <x:v>12</x:v>
      </x:c>
      <x:c r="E6" s="15" t="n">
        <x:v>2</x:v>
      </x:c>
      <x:c r="F6" s="16"/>
      <x:c r="G6" t="str">
        <x:f t="shared" si="1"/>
      </x:c>
      <x:c r="H6" s="37"/>
      <x:c r="I6" s="21" t="str">
        <x:v>Tsjekkia</x:v>
      </x:c>
      <x:c r="K6" t="str">
        <x:f t="shared" si="2"/>
      </x:c>
    </x:row>
    <x:row r="7">
      <x:c r="A7" s="4" t="str">
        <x:f t="shared" si="0"/>
        <x:v>A</x:v>
      </x:c>
      <x:c r="B7" s="5" t="s">
        <x:v>9</x:v>
      </x:c>
      <x:c r="C7" s="40"/>
      <x:c r="D7" s="31" t="s">
        <x:v>13</x:v>
      </x:c>
      <x:c r="E7" s="15" t="n">
        <x:v>3</x:v>
      </x:c>
      <x:c r="F7" s="16" t="n">
        <x:v>1</x:v>
      </x:c>
      <x:c r="G7" t="str">
        <x:f t="shared" si="1"/>
      </x:c>
      <x:c r="H7" s="37"/>
      <x:c r="I7" s="21" t="str">
        <x:v>Sør-Afrika</x:v>
      </x:c>
      <x:c r="K7" t="str">
        <x:f t="shared" si="2"/>
      </x:c>
    </x:row>
    <x:row r="8">
      <x:c r="A8" t="str">
        <x:f t="shared" si="0"/>
        <x:v>B</x:v>
      </x:c>
      <x:c r="B8" s="1" t="s">
        <x:v>14</x:v>
      </x:c>
      <x:c r="C8" s="41" t="str">
        <x:f>+$B8</x:f>
        <x:v>B</x:v>
      </x:c>
      <x:c r="D8" s="32" t="s">
        <x:v>15</x:v>
      </x:c>
      <x:c r="E8" s="17" t="n">
        <x:v>2</x:v>
      </x:c>
      <x:c r="F8" s="18"/>
      <x:c r="G8" t="str">
        <x:f t="shared" si="1"/>
      </x:c>
      <x:c r="H8" s="38" t="str">
        <x:f>+$B8</x:f>
        <x:v>B</x:v>
      </x:c>
      <x:c r="I8" t="str" cm="1">
        <x:f t="array" ref="I8:I11">_xlfn.SORTBY(D8:D11,E8:E11)</x:f>
        <x:v>Sveits</x:v>
      </x:c>
      <x:c r="K8" t="str">
        <x:f t="shared" si="2"/>
      </x:c>
    </x:row>
    <x:row r="9">
      <x:c r="A9" t="str">
        <x:f t="shared" si="0"/>
        <x:v>B</x:v>
      </x:c>
      <x:c r="B9" s="1" t="s">
        <x:v>14</x:v>
      </x:c>
      <x:c r="C9" s="41"/>
      <x:c r="D9" s="32" t="s">
        <x:v>16</x:v>
      </x:c>
      <x:c r="E9" s="17" t="n">
        <x:v>3</x:v>
      </x:c>
      <x:c r="F9" s="18"/>
      <x:c r="G9" t="str">
        <x:f t="shared" si="1"/>
      </x:c>
      <x:c r="H9" s="38"/>
      <x:c r="I9" t="str">
        <x:v>Canada</x:v>
      </x:c>
      <x:c r="K9" t="str">
        <x:f t="shared" si="2"/>
      </x:c>
    </x:row>
    <x:row r="10">
      <x:c r="A10" t="str">
        <x:f t="shared" si="0"/>
        <x:v>B</x:v>
      </x:c>
      <x:c r="B10" s="1" t="s">
        <x:v>14</x:v>
      </x:c>
      <x:c r="C10" s="41"/>
      <x:c r="D10" s="32" t="s">
        <x:v>17</x:v>
      </x:c>
      <x:c r="E10" s="17" t="n">
        <x:v>4</x:v>
      </x:c>
      <x:c r="F10" s="18"/>
      <x:c r="G10" t="str">
        <x:f t="shared" si="1"/>
      </x:c>
      <x:c r="H10" s="38"/>
      <x:c r="I10" s="22" t="str">
        <x:v>Bosnia-Hercegovina</x:v>
      </x:c>
      <x:c r="K10" t="str">
        <x:f t="shared" si="2"/>
      </x:c>
    </x:row>
    <x:row r="11">
      <x:c r="A11" t="str">
        <x:f t="shared" si="0"/>
        <x:v>B</x:v>
      </x:c>
      <x:c r="B11" s="1" t="s">
        <x:v>14</x:v>
      </x:c>
      <x:c r="C11" s="41"/>
      <x:c r="D11" s="32" t="s">
        <x:v>18</x:v>
      </x:c>
      <x:c r="E11" s="17" t="n">
        <x:v>1</x:v>
      </x:c>
      <x:c r="F11" s="18"/>
      <x:c r="G11" t="str">
        <x:f t="shared" si="1"/>
      </x:c>
      <x:c r="H11" s="38"/>
      <x:c r="I11" s="22" t="str">
        <x:v>Qatar</x:v>
      </x:c>
      <x:c r="K11" t="str">
        <x:f t="shared" si="2"/>
      </x:c>
    </x:row>
    <x:row r="12">
      <x:c r="A12" s="4" t="str">
        <x:f t="shared" si="0"/>
        <x:v>C</x:v>
      </x:c>
      <x:c r="B12" s="5" t="s">
        <x:v>19</x:v>
      </x:c>
      <x:c r="C12" s="40" t="str">
        <x:f>+$B12</x:f>
        <x:v>C</x:v>
      </x:c>
      <x:c r="D12" s="31" t="s">
        <x:v>20</x:v>
      </x:c>
      <x:c r="E12" s="15" t="n">
        <x:v>1</x:v>
      </x:c>
      <x:c r="F12" s="16"/>
      <x:c r="G12" t="str">
        <x:f t="shared" si="1"/>
      </x:c>
      <x:c r="H12" s="37" t="str">
        <x:f>+$B12</x:f>
        <x:v>C</x:v>
      </x:c>
      <x:c r="I12" s="10" t="str" cm="1">
        <x:f t="array" ref="I12:I15">_xlfn.SORTBY(D12:D15,E12:E15)</x:f>
        <x:v>Brasil</x:v>
      </x:c>
      <x:c r="K12" t="str">
        <x:f t="shared" si="2"/>
      </x:c>
    </x:row>
    <x:row r="13">
      <x:c r="A13" s="4" t="str">
        <x:f t="shared" si="0"/>
        <x:v>C</x:v>
      </x:c>
      <x:c r="B13" s="5" t="s">
        <x:v>19</x:v>
      </x:c>
      <x:c r="C13" s="40"/>
      <x:c r="D13" s="31" t="s">
        <x:v>21</x:v>
      </x:c>
      <x:c r="E13" s="15" t="n">
        <x:v>2</x:v>
      </x:c>
      <x:c r="F13" s="16"/>
      <x:c r="G13" t="str">
        <x:f t="shared" si="1"/>
      </x:c>
      <x:c r="H13" s="37"/>
      <x:c r="I13" s="10" t="str">
        <x:v>Marokko</x:v>
      </x:c>
      <x:c r="K13" t="str">
        <x:f t="shared" si="2"/>
      </x:c>
    </x:row>
    <x:row r="14">
      <x:c r="A14" s="4" t="str">
        <x:f t="shared" si="0"/>
        <x:v>C</x:v>
      </x:c>
      <x:c r="B14" s="5" t="s">
        <x:v>19</x:v>
      </x:c>
      <x:c r="C14" s="40"/>
      <x:c r="D14" s="31" t="s">
        <x:v>22</x:v>
      </x:c>
      <x:c r="E14" s="15" t="n">
        <x:v>3</x:v>
      </x:c>
      <x:c r="F14" s="16" t="n">
        <x:v>1</x:v>
      </x:c>
      <x:c r="G14" t="str">
        <x:f t="shared" si="1"/>
      </x:c>
      <x:c r="H14" s="37"/>
      <x:c r="I14" s="21" t="str">
        <x:v>Skottland</x:v>
      </x:c>
      <x:c r="K14" t="str">
        <x:f t="shared" si="2"/>
      </x:c>
    </x:row>
    <x:row r="15">
      <x:c r="A15" s="4" t="str">
        <x:f t="shared" si="0"/>
        <x:v>C</x:v>
      </x:c>
      <x:c r="B15" s="5" t="s">
        <x:v>19</x:v>
      </x:c>
      <x:c r="C15" s="40"/>
      <x:c r="D15" s="31" t="s">
        <x:v>23</x:v>
      </x:c>
      <x:c r="E15" s="15" t="n">
        <x:v>4</x:v>
      </x:c>
      <x:c r="F15" s="16"/>
      <x:c r="G15" t="str">
        <x:f t="shared" si="1"/>
      </x:c>
      <x:c r="H15" s="37"/>
      <x:c r="I15" s="21" t="str">
        <x:v>Haiti</x:v>
      </x:c>
      <x:c r="K15" t="str">
        <x:f t="shared" si="2"/>
      </x:c>
    </x:row>
    <x:row r="16">
      <x:c r="A16" t="str">
        <x:f t="shared" si="0"/>
        <x:v>D</x:v>
      </x:c>
      <x:c r="B16" s="1" t="s">
        <x:v>24</x:v>
      </x:c>
      <x:c r="C16" s="41" t="str">
        <x:f>+$B16</x:f>
        <x:v>D</x:v>
      </x:c>
      <x:c r="D16" s="32" t="s">
        <x:v>25</x:v>
      </x:c>
      <x:c r="E16" s="17" t="n">
        <x:v>1</x:v>
      </x:c>
      <x:c r="F16" s="18"/>
      <x:c r="G16" t="str">
        <x:f t="shared" si="1"/>
      </x:c>
      <x:c r="H16" s="38" t="str">
        <x:f>+$B16</x:f>
        <x:v>D</x:v>
      </x:c>
      <x:c r="I16" t="str" cm="1">
        <x:f t="array" ref="I16:I19">_xlfn.SORTBY(D16:D19,E16:E19)</x:f>
        <x:v>USA</x:v>
      </x:c>
      <x:c r="K16" t="str">
        <x:f t="shared" si="2"/>
      </x:c>
    </x:row>
    <x:row r="17">
      <x:c r="A17" t="str">
        <x:f t="shared" si="0"/>
        <x:v>D</x:v>
      </x:c>
      <x:c r="B17" s="1" t="s">
        <x:v>24</x:v>
      </x:c>
      <x:c r="C17" s="41"/>
      <x:c r="D17" s="32" t="s">
        <x:v>26</x:v>
      </x:c>
      <x:c r="E17" s="17" t="n">
        <x:v>3</x:v>
      </x:c>
      <x:c r="F17" s="18" t="n">
        <x:v>1</x:v>
      </x:c>
      <x:c r="G17" t="str">
        <x:f t="shared" si="1"/>
      </x:c>
      <x:c r="H17" s="38"/>
      <x:c r="I17" t="str">
        <x:v>Tyrkia</x:v>
      </x:c>
      <x:c r="K17" t="str">
        <x:f t="shared" si="2"/>
      </x:c>
    </x:row>
    <x:row r="18">
      <x:c r="A18" t="str">
        <x:f t="shared" si="0"/>
        <x:v>D</x:v>
      </x:c>
      <x:c r="B18" s="1" t="s">
        <x:v>24</x:v>
      </x:c>
      <x:c r="C18" s="41"/>
      <x:c r="D18" s="32" t="s">
        <x:v>27</x:v>
      </x:c>
      <x:c r="E18" s="17" t="n">
        <x:v>4</x:v>
      </x:c>
      <x:c r="F18" s="18"/>
      <x:c r="G18" t="str">
        <x:f t="shared" si="1"/>
      </x:c>
      <x:c r="H18" s="38"/>
      <x:c r="I18" s="22" t="str">
        <x:v>Paraguay</x:v>
      </x:c>
      <x:c r="K18" t="str">
        <x:f t="shared" si="2"/>
      </x:c>
    </x:row>
    <x:row r="19">
      <x:c r="A19" t="str">
        <x:f t="shared" si="0"/>
        <x:v>D</x:v>
      </x:c>
      <x:c r="B19" s="1" t="s">
        <x:v>24</x:v>
      </x:c>
      <x:c r="C19" s="41"/>
      <x:c r="D19" s="32" t="s">
        <x:v>28</x:v>
      </x:c>
      <x:c r="E19" s="17" t="n">
        <x:v>2</x:v>
      </x:c>
      <x:c r="F19" s="18"/>
      <x:c r="G19" t="str">
        <x:f t="shared" si="1"/>
      </x:c>
      <x:c r="H19" s="38"/>
      <x:c r="I19" s="22" t="str">
        <x:v>Australia</x:v>
      </x:c>
      <x:c r="K19" t="str">
        <x:f t="shared" si="2"/>
      </x:c>
    </x:row>
    <x:row r="20">
      <x:c r="A20" s="4" t="str">
        <x:f t="shared" si="0"/>
        <x:v>E</x:v>
      </x:c>
      <x:c r="B20" s="5" t="s">
        <x:v>29</x:v>
      </x:c>
      <x:c r="C20" s="40" t="str">
        <x:f>+$B20</x:f>
        <x:v>E</x:v>
      </x:c>
      <x:c r="D20" s="31" t="s">
        <x:v>30</x:v>
      </x:c>
      <x:c r="E20" s="15" t="n">
        <x:v>1</x:v>
      </x:c>
      <x:c r="F20" s="16"/>
      <x:c r="G20" t="str">
        <x:f t="shared" si="1"/>
      </x:c>
      <x:c r="H20" s="37" t="str">
        <x:f>+$B20</x:f>
        <x:v>E</x:v>
      </x:c>
      <x:c r="I20" s="10" t="str" cm="1">
        <x:f t="array" ref="I20:I23">_xlfn.SORTBY(D20:D23,E20:E23)</x:f>
        <x:v>Tyskland</x:v>
      </x:c>
      <x:c r="K20" t="str">
        <x:f t="shared" si="2"/>
      </x:c>
    </x:row>
    <x:row r="21">
      <x:c r="A21" s="4" t="str">
        <x:f t="shared" si="0"/>
        <x:v>E</x:v>
      </x:c>
      <x:c r="B21" s="5" t="s">
        <x:v>29</x:v>
      </x:c>
      <x:c r="C21" s="40"/>
      <x:c r="D21" s="31" t="s">
        <x:v>31</x:v>
      </x:c>
      <x:c r="E21" s="15" t="n">
        <x:v>2</x:v>
      </x:c>
      <x:c r="F21" s="16"/>
      <x:c r="G21" t="str">
        <x:f t="shared" si="1"/>
      </x:c>
      <x:c r="H21" s="37"/>
      <x:c r="I21" s="10" t="str">
        <x:v>Ecuador</x:v>
      </x:c>
      <x:c r="K21" t="str">
        <x:f t="shared" si="2"/>
      </x:c>
    </x:row>
    <x:row r="22">
      <x:c r="A22" s="4" t="str">
        <x:f t="shared" si="0"/>
        <x:v>E</x:v>
      </x:c>
      <x:c r="B22" s="5" t="s">
        <x:v>29</x:v>
      </x:c>
      <x:c r="C22" s="40"/>
      <x:c r="D22" s="31" t="s">
        <x:v>32</x:v>
      </x:c>
      <x:c r="E22" s="15" t="n">
        <x:v>3</x:v>
      </x:c>
      <x:c r="F22" s="16" t="n">
        <x:v>1</x:v>
      </x:c>
      <x:c r="G22" t="str">
        <x:f t="shared" si="1"/>
      </x:c>
      <x:c r="H22" s="37"/>
      <x:c r="I22" s="21" t="str">
        <x:v>Elfenbenskysten</x:v>
      </x:c>
      <x:c r="K22" t="str">
        <x:f t="shared" si="2"/>
      </x:c>
    </x:row>
    <x:row r="23">
      <x:c r="A23" s="4" t="str">
        <x:f t="shared" si="0"/>
        <x:v>E</x:v>
      </x:c>
      <x:c r="B23" s="5" t="s">
        <x:v>29</x:v>
      </x:c>
      <x:c r="C23" s="40"/>
      <x:c r="D23" s="31" t="s">
        <x:v>33</x:v>
      </x:c>
      <x:c r="E23" s="15" t="n">
        <x:v>4</x:v>
      </x:c>
      <x:c r="F23" s="16"/>
      <x:c r="G23" t="str">
        <x:f t="shared" si="1"/>
      </x:c>
      <x:c r="H23" s="37"/>
      <x:c r="I23" s="21" t="str">
        <x:v>Curaçao</x:v>
      </x:c>
      <x:c r="K23" t="str">
        <x:f t="shared" si="2"/>
      </x:c>
    </x:row>
    <x:row r="24">
      <x:c r="A24" t="str">
        <x:f t="shared" si="0"/>
        <x:v>F</x:v>
      </x:c>
      <x:c r="B24" s="1" t="s">
        <x:v>34</x:v>
      </x:c>
      <x:c r="C24" s="41" t="str">
        <x:f>+$B24</x:f>
        <x:v>F</x:v>
      </x:c>
      <x:c r="D24" s="32" t="s">
        <x:v>35</x:v>
      </x:c>
      <x:c r="E24" s="17" t="n">
        <x:v>1</x:v>
      </x:c>
      <x:c r="F24" s="18"/>
      <x:c r="G24" t="str">
        <x:f t="shared" si="1"/>
      </x:c>
      <x:c r="H24" s="38" t="str">
        <x:f>+$B24</x:f>
        <x:v>F</x:v>
      </x:c>
      <x:c r="I24" t="str" cm="1">
        <x:f t="array" ref="I24:I27">_xlfn.SORTBY(D24:D27,E24:E27)</x:f>
        <x:v>Nederland</x:v>
      </x:c>
      <x:c r="K24" t="str">
        <x:f t="shared" si="2"/>
      </x:c>
    </x:row>
    <x:row r="25">
      <x:c r="A25" t="str">
        <x:f t="shared" si="0"/>
        <x:v>F</x:v>
      </x:c>
      <x:c r="B25" s="1" t="s">
        <x:v>34</x:v>
      </x:c>
      <x:c r="C25" s="41"/>
      <x:c r="D25" s="32" t="s">
        <x:v>36</x:v>
      </x:c>
      <x:c r="E25" s="17" t="n">
        <x:v>2</x:v>
      </x:c>
      <x:c r="F25" s="18"/>
      <x:c r="G25" t="str">
        <x:f t="shared" si="1"/>
      </x:c>
      <x:c r="H25" s="38"/>
      <x:c r="I25" t="str">
        <x:v>Japan</x:v>
      </x:c>
      <x:c r="K25" t="str">
        <x:f t="shared" si="2"/>
      </x:c>
    </x:row>
    <x:row r="26">
      <x:c r="A26" t="str">
        <x:f t="shared" si="0"/>
        <x:v>F</x:v>
      </x:c>
      <x:c r="B26" s="1" t="s">
        <x:v>34</x:v>
      </x:c>
      <x:c r="C26" s="41"/>
      <x:c r="D26" s="32" t="s">
        <x:v>37</x:v>
      </x:c>
      <x:c r="E26" s="17" t="n">
        <x:v>4</x:v>
      </x:c>
      <x:c r="F26" s="18"/>
      <x:c r="G26" t="str">
        <x:f t="shared" si="1"/>
      </x:c>
      <x:c r="H26" s="38"/>
      <x:c r="I26" s="22" t="str">
        <x:v>Sverige</x:v>
      </x:c>
      <x:c r="K26" t="str">
        <x:f t="shared" si="2"/>
      </x:c>
    </x:row>
    <x:row r="27">
      <x:c r="A27" t="str">
        <x:f t="shared" si="0"/>
        <x:v>F</x:v>
      </x:c>
      <x:c r="B27" s="1" t="s">
        <x:v>34</x:v>
      </x:c>
      <x:c r="C27" s="41"/>
      <x:c r="D27" s="32" t="s">
        <x:v>38</x:v>
      </x:c>
      <x:c r="E27" s="17" t="n">
        <x:v>3</x:v>
      </x:c>
      <x:c r="F27" s="18" t="n">
        <x:v>1</x:v>
      </x:c>
      <x:c r="G27" t="str">
        <x:f t="shared" si="1"/>
      </x:c>
      <x:c r="H27" s="38"/>
      <x:c r="I27" s="22" t="str">
        <x:v>Tunisia</x:v>
      </x:c>
      <x:c r="K27" t="str">
        <x:f t="shared" si="2"/>
      </x:c>
    </x:row>
    <x:row r="28">
      <x:c r="A28" s="4" t="str">
        <x:f t="shared" si="0"/>
        <x:v>G</x:v>
      </x:c>
      <x:c r="B28" s="5" t="s">
        <x:v>39</x:v>
      </x:c>
      <x:c r="C28" s="40" t="str">
        <x:f>+$B28</x:f>
        <x:v>G</x:v>
      </x:c>
      <x:c r="D28" s="31" t="s">
        <x:v>40</x:v>
      </x:c>
      <x:c r="E28" s="15" t="n">
        <x:v>1</x:v>
      </x:c>
      <x:c r="F28" s="16"/>
      <x:c r="G28" t="str">
        <x:f t="shared" si="1"/>
      </x:c>
      <x:c r="H28" s="37" t="str">
        <x:f>+$B28</x:f>
        <x:v>G</x:v>
      </x:c>
      <x:c r="I28" s="10" t="str" cm="1">
        <x:f t="array" ref="I28:I31">_xlfn.SORTBY(D28:D31,E28:E31)</x:f>
        <x:v>Belgia</x:v>
      </x:c>
      <x:c r="K28" t="str">
        <x:f t="shared" si="2"/>
      </x:c>
    </x:row>
    <x:row r="29">
      <x:c r="A29" s="4" t="str">
        <x:f t="shared" si="0"/>
        <x:v>G</x:v>
      </x:c>
      <x:c r="B29" s="5" t="s">
        <x:v>39</x:v>
      </x:c>
      <x:c r="C29" s="40"/>
      <x:c r="D29" s="31" t="s">
        <x:v>41</x:v>
      </x:c>
      <x:c r="E29" s="15" t="n">
        <x:v>2</x:v>
      </x:c>
      <x:c r="F29" s="16"/>
      <x:c r="G29" t="str">
        <x:f t="shared" si="1"/>
      </x:c>
      <x:c r="H29" s="37"/>
      <x:c r="I29" s="10" t="str">
        <x:v>Iran</x:v>
      </x:c>
      <x:c r="K29" t="str">
        <x:f t="shared" si="2"/>
      </x:c>
    </x:row>
    <x:row r="30">
      <x:c r="A30" s="4" t="str">
        <x:f t="shared" si="0"/>
        <x:v>G</x:v>
      </x:c>
      <x:c r="B30" s="5" t="s">
        <x:v>39</x:v>
      </x:c>
      <x:c r="C30" s="40"/>
      <x:c r="D30" s="31" t="s">
        <x:v>42</x:v>
      </x:c>
      <x:c r="E30" s="15" t="n">
        <x:v>3</x:v>
      </x:c>
      <x:c r="F30" s="16" t="n">
        <x:v>1</x:v>
      </x:c>
      <x:c r="G30" t="str">
        <x:f t="shared" si="1"/>
      </x:c>
      <x:c r="H30" s="37"/>
      <x:c r="I30" s="21" t="str">
        <x:v>Egypt</x:v>
      </x:c>
      <x:c r="K30" t="str">
        <x:f t="shared" si="2"/>
      </x:c>
    </x:row>
    <x:row r="31">
      <x:c r="A31" s="4" t="str">
        <x:f t="shared" si="0"/>
        <x:v>G</x:v>
      </x:c>
      <x:c r="B31" s="5" t="s">
        <x:v>39</x:v>
      </x:c>
      <x:c r="C31" s="40"/>
      <x:c r="D31" s="31" t="s">
        <x:v>43</x:v>
      </x:c>
      <x:c r="E31" s="15" t="n">
        <x:v>4</x:v>
      </x:c>
      <x:c r="F31" s="16"/>
      <x:c r="G31" t="str">
        <x:f t="shared" si="1"/>
      </x:c>
      <x:c r="H31" s="37"/>
      <x:c r="I31" s="21" t="str">
        <x:v>New Zealand</x:v>
      </x:c>
      <x:c r="K31" t="str">
        <x:f t="shared" si="2"/>
      </x:c>
    </x:row>
    <x:row r="32">
      <x:c r="A32" t="str">
        <x:f t="shared" si="0"/>
        <x:v>H</x:v>
      </x:c>
      <x:c r="B32" s="1" t="s">
        <x:v>44</x:v>
      </x:c>
      <x:c r="C32" s="41" t="str">
        <x:f>+$B32</x:f>
        <x:v>H</x:v>
      </x:c>
      <x:c r="D32" s="32" t="s">
        <x:v>45</x:v>
      </x:c>
      <x:c r="E32" s="17" t="n">
        <x:v>1</x:v>
      </x:c>
      <x:c r="F32" s="18"/>
      <x:c r="G32" t="str">
        <x:f t="shared" si="1"/>
      </x:c>
      <x:c r="H32" s="38" t="str">
        <x:f>+$B32</x:f>
        <x:v>H</x:v>
      </x:c>
      <x:c r="I32" t="str" cm="1">
        <x:f t="array" ref="I32:I35">_xlfn.SORTBY(D32:D35,E32:E35)</x:f>
        <x:v>Spania</x:v>
      </x:c>
      <x:c r="K32" t="str">
        <x:f t="shared" si="2"/>
      </x:c>
    </x:row>
    <x:row r="33">
      <x:c r="A33" t="str">
        <x:f t="shared" si="0"/>
        <x:v>H</x:v>
      </x:c>
      <x:c r="B33" s="1" t="s">
        <x:v>44</x:v>
      </x:c>
      <x:c r="C33" s="41"/>
      <x:c r="D33" s="32" t="s">
        <x:v>46</x:v>
      </x:c>
      <x:c r="E33" s="17" t="n">
        <x:v>2</x:v>
      </x:c>
      <x:c r="F33" s="18"/>
      <x:c r="G33" t="str">
        <x:f t="shared" si="1"/>
      </x:c>
      <x:c r="H33" s="38"/>
      <x:c r="I33" t="str">
        <x:v>Uruguay</x:v>
      </x:c>
      <x:c r="K33" t="str">
        <x:f t="shared" si="2"/>
      </x:c>
    </x:row>
    <x:row r="34">
      <x:c r="A34" t="str">
        <x:f t="shared" si="0"/>
        <x:v>H</x:v>
      </x:c>
      <x:c r="B34" s="1" t="s">
        <x:v>44</x:v>
      </x:c>
      <x:c r="C34" s="41"/>
      <x:c r="D34" s="32" t="s">
        <x:v>47</x:v>
      </x:c>
      <x:c r="E34" s="17" t="n">
        <x:v>4</x:v>
      </x:c>
      <x:c r="F34" s="18"/>
      <x:c r="G34" t="str">
        <x:f t="shared" si="1"/>
      </x:c>
      <x:c r="H34" s="38"/>
      <x:c r="I34" s="22" t="str">
        <x:v>Kapp Verde</x:v>
      </x:c>
      <x:c r="K34" t="str">
        <x:f t="shared" si="2"/>
      </x:c>
    </x:row>
    <x:row r="35">
      <x:c r="A35" t="str">
        <x:f t="shared" si="0"/>
        <x:v>H</x:v>
      </x:c>
      <x:c r="B35" s="1" t="s">
        <x:v>44</x:v>
      </x:c>
      <x:c r="C35" s="41"/>
      <x:c r="D35" s="32" t="s">
        <x:v>48</x:v>
      </x:c>
      <x:c r="E35" s="17" t="n">
        <x:v>3</x:v>
      </x:c>
      <x:c r="F35" s="18"/>
      <x:c r="G35" t="str">
        <x:f t="shared" si="1"/>
      </x:c>
      <x:c r="H35" s="38"/>
      <x:c r="I35" s="22" t="str">
        <x:v>Saudi-Arabia</x:v>
      </x:c>
      <x:c r="K35" t="str">
        <x:f t="shared" si="2"/>
      </x:c>
    </x:row>
    <x:row r="36">
      <x:c r="A36" s="4" t="str">
        <x:f t="shared" si="0"/>
        <x:v>I</x:v>
      </x:c>
      <x:c r="B36" s="5" t="s">
        <x:v>49</x:v>
      </x:c>
      <x:c r="C36" s="40" t="str">
        <x:f>+$B36</x:f>
        <x:v>I</x:v>
      </x:c>
      <x:c r="D36" s="31" t="s">
        <x:v>50</x:v>
      </x:c>
      <x:c r="E36" s="15" t="n">
        <x:v>1</x:v>
      </x:c>
      <x:c r="F36" s="16"/>
      <x:c r="G36" t="str">
        <x:f t="shared" si="1"/>
      </x:c>
      <x:c r="H36" s="37" t="str">
        <x:f>+$B36</x:f>
        <x:v>I</x:v>
      </x:c>
      <x:c r="I36" s="10" t="str" cm="1">
        <x:f t="array" ref="I36:I39">_xlfn.SORTBY(D36:D39,E36:E39)</x:f>
        <x:v>Frankrike</x:v>
      </x:c>
      <x:c r="K36" t="str">
        <x:f t="shared" si="2"/>
      </x:c>
    </x:row>
    <x:row r="37">
      <x:c r="A37" s="4" t="str">
        <x:f t="shared" si="0"/>
        <x:v>I</x:v>
      </x:c>
      <x:c r="B37" s="5" t="s">
        <x:v>49</x:v>
      </x:c>
      <x:c r="C37" s="40"/>
      <x:c r="D37" s="31" t="s">
        <x:v>51</x:v>
      </x:c>
      <x:c r="E37" s="15" t="n">
        <x:v>3</x:v>
      </x:c>
      <x:c r="F37" s="16" t="n">
        <x:v>1</x:v>
      </x:c>
      <x:c r="G37" t="str">
        <x:f t="shared" si="1"/>
      </x:c>
      <x:c r="H37" s="37"/>
      <x:c r="I37" s="10" t="str">
        <x:v>Norge</x:v>
      </x:c>
      <x:c r="K37" t="str">
        <x:f t="shared" si="2"/>
      </x:c>
    </x:row>
    <x:row r="38">
      <x:c r="A38" s="4" t="str">
        <x:f t="shared" si="0"/>
        <x:v>I</x:v>
      </x:c>
      <x:c r="B38" s="5" t="s">
        <x:v>49</x:v>
      </x:c>
      <x:c r="C38" s="40"/>
      <x:c r="D38" s="31" t="s">
        <x:v>52</x:v>
      </x:c>
      <x:c r="E38" s="15" t="n">
        <x:v>2</x:v>
      </x:c>
      <x:c r="F38" s="16"/>
      <x:c r="G38" t="str">
        <x:f t="shared" si="1"/>
      </x:c>
      <x:c r="H38" s="37"/>
      <x:c r="I38" s="21" t="str">
        <x:v>Senegal</x:v>
      </x:c>
      <x:c r="K38" t="str">
        <x:f t="shared" si="2"/>
      </x:c>
    </x:row>
    <x:row r="39">
      <x:c r="A39" s="4" t="str">
        <x:f t="shared" si="0"/>
        <x:v>I</x:v>
      </x:c>
      <x:c r="B39" s="5" t="s">
        <x:v>49</x:v>
      </x:c>
      <x:c r="C39" s="40"/>
      <x:c r="D39" s="31" t="s">
        <x:v>53</x:v>
      </x:c>
      <x:c r="E39" s="15" t="n">
        <x:v>4</x:v>
      </x:c>
      <x:c r="F39" s="16"/>
      <x:c r="G39" t="str">
        <x:f t="shared" si="1"/>
      </x:c>
      <x:c r="H39" s="37"/>
      <x:c r="I39" s="21" t="str">
        <x:v>Irak</x:v>
      </x:c>
      <x:c r="K39" t="str">
        <x:f t="shared" si="2"/>
      </x:c>
    </x:row>
    <x:row r="40">
      <x:c r="A40" t="str">
        <x:f t="shared" si="0"/>
        <x:v>J</x:v>
      </x:c>
      <x:c r="B40" s="1" t="s">
        <x:v>54</x:v>
      </x:c>
      <x:c r="C40" s="41" t="str">
        <x:f>+$B40</x:f>
        <x:v>J</x:v>
      </x:c>
      <x:c r="D40" s="32" t="s">
        <x:v>55</x:v>
      </x:c>
      <x:c r="E40" s="17" t="n">
        <x:v>1</x:v>
      </x:c>
      <x:c r="F40" s="18"/>
      <x:c r="G40" t="str">
        <x:f t="shared" si="1"/>
      </x:c>
      <x:c r="H40" s="38" t="str">
        <x:f>+$B40</x:f>
        <x:v>J</x:v>
      </x:c>
      <x:c r="I40" t="str" cm="1">
        <x:f t="array" ref="I40:I43">_xlfn.SORTBY(D40:D43,E40:E43)</x:f>
        <x:v>Argentina</x:v>
      </x:c>
      <x:c r="K40" t="str">
        <x:f t="shared" si="2"/>
      </x:c>
    </x:row>
    <x:row r="41">
      <x:c r="A41" t="str">
        <x:f t="shared" si="0"/>
        <x:v>J</x:v>
      </x:c>
      <x:c r="B41" s="1" t="s">
        <x:v>54</x:v>
      </x:c>
      <x:c r="C41" s="41"/>
      <x:c r="D41" s="32" t="s">
        <x:v>56</x:v>
      </x:c>
      <x:c r="E41" s="17" t="n">
        <x:v>3</x:v>
      </x:c>
      <x:c r="F41" s="18" t="n">
        <x:v>1</x:v>
      </x:c>
      <x:c r="G41" t="str">
        <x:f t="shared" si="1"/>
      </x:c>
      <x:c r="H41" s="38"/>
      <x:c r="I41" t="str">
        <x:v>Østerrike</x:v>
      </x:c>
      <x:c r="K41" t="str">
        <x:f t="shared" si="2"/>
      </x:c>
    </x:row>
    <x:row r="42">
      <x:c r="A42" t="str">
        <x:f t="shared" si="0"/>
        <x:v>J</x:v>
      </x:c>
      <x:c r="B42" s="1" t="s">
        <x:v>54</x:v>
      </x:c>
      <x:c r="C42" s="41"/>
      <x:c r="D42" s="32" t="s">
        <x:v>57</x:v>
      </x:c>
      <x:c r="E42" s="17" t="n">
        <x:v>2</x:v>
      </x:c>
      <x:c r="F42" s="18"/>
      <x:c r="G42" t="str">
        <x:f t="shared" si="1"/>
      </x:c>
      <x:c r="H42" s="38"/>
      <x:c r="I42" s="22" t="str">
        <x:v>Algerie</x:v>
      </x:c>
      <x:c r="K42" t="str">
        <x:f t="shared" si="2"/>
      </x:c>
    </x:row>
    <x:row r="43">
      <x:c r="A43" t="str">
        <x:f t="shared" si="0"/>
        <x:v>J</x:v>
      </x:c>
      <x:c r="B43" s="1" t="s">
        <x:v>54</x:v>
      </x:c>
      <x:c r="C43" s="41"/>
      <x:c r="D43" s="32" t="s">
        <x:v>58</x:v>
      </x:c>
      <x:c r="E43" s="17" t="n">
        <x:v>4</x:v>
      </x:c>
      <x:c r="F43" s="18"/>
      <x:c r="G43" t="str">
        <x:f t="shared" si="1"/>
      </x:c>
      <x:c r="H43" s="38"/>
      <x:c r="I43" s="22" t="str">
        <x:v>Jordan</x:v>
      </x:c>
      <x:c r="K43" t="str">
        <x:f t="shared" si="2"/>
      </x:c>
    </x:row>
    <x:row r="44">
      <x:c r="A44" s="4" t="str">
        <x:f t="shared" si="0"/>
        <x:v>K</x:v>
      </x:c>
      <x:c r="B44" s="5" t="s">
        <x:v>59</x:v>
      </x:c>
      <x:c r="C44" s="40" t="str">
        <x:f>+$B44</x:f>
        <x:v>K</x:v>
      </x:c>
      <x:c r="D44" s="31" t="s">
        <x:v>60</x:v>
      </x:c>
      <x:c r="E44" s="15" t="n">
        <x:v>1</x:v>
      </x:c>
      <x:c r="F44" s="16"/>
      <x:c r="G44" t="str">
        <x:f t="shared" si="1"/>
      </x:c>
      <x:c r="H44" s="37" t="str">
        <x:f>+$B44</x:f>
        <x:v>K</x:v>
      </x:c>
      <x:c r="I44" s="10" t="str" cm="1">
        <x:f t="array" ref="I44:I47">_xlfn.SORTBY(D44:D47,E44:E47)</x:f>
        <x:v>Portugal</x:v>
      </x:c>
      <x:c r="K44" t="str">
        <x:f t="shared" si="2"/>
      </x:c>
    </x:row>
    <x:row r="45">
      <x:c r="A45" s="4" t="str">
        <x:f t="shared" si="0"/>
        <x:v>K</x:v>
      </x:c>
      <x:c r="B45" s="5" t="s">
        <x:v>59</x:v>
      </x:c>
      <x:c r="C45" s="40"/>
      <x:c r="D45" s="31" t="s">
        <x:v>61</x:v>
      </x:c>
      <x:c r="E45" s="15" t="n">
        <x:v>3</x:v>
      </x:c>
      <x:c r="F45" s="16"/>
      <x:c r="G45" t="str">
        <x:f t="shared" si="1"/>
      </x:c>
      <x:c r="H45" s="37"/>
      <x:c r="I45" s="10" t="str">
        <x:v>Colombia</x:v>
      </x:c>
      <x:c r="K45" t="str">
        <x:f t="shared" si="2"/>
      </x:c>
    </x:row>
    <x:row r="46">
      <x:c r="A46" s="4" t="str">
        <x:f t="shared" si="0"/>
        <x:v>K</x:v>
      </x:c>
      <x:c r="B46" s="5" t="s">
        <x:v>59</x:v>
      </x:c>
      <x:c r="C46" s="40"/>
      <x:c r="D46" s="31" t="s">
        <x:v>62</x:v>
      </x:c>
      <x:c r="E46" s="15" t="n">
        <x:v>4</x:v>
      </x:c>
      <x:c r="F46" s="16"/>
      <x:c r="G46" t="str">
        <x:f t="shared" si="1"/>
      </x:c>
      <x:c r="H46" s="37"/>
      <x:c r="I46" s="21" t="str">
        <x:v>DR Kongo</x:v>
      </x:c>
      <x:c r="K46" t="str">
        <x:f t="shared" si="2"/>
      </x:c>
    </x:row>
    <x:row r="47">
      <x:c r="A47" s="4" t="str">
        <x:f t="shared" si="0"/>
        <x:v>K</x:v>
      </x:c>
      <x:c r="B47" s="5" t="s">
        <x:v>59</x:v>
      </x:c>
      <x:c r="C47" s="40"/>
      <x:c r="D47" s="31" t="s">
        <x:v>63</x:v>
      </x:c>
      <x:c r="E47" s="15" t="n">
        <x:v>2</x:v>
      </x:c>
      <x:c r="F47" s="16"/>
      <x:c r="G47" t="str">
        <x:f t="shared" si="1"/>
      </x:c>
      <x:c r="H47" s="37"/>
      <x:c r="I47" s="21" t="str">
        <x:v>Usbekistan</x:v>
      </x:c>
      <x:c r="K47" t="str">
        <x:f t="shared" si="2"/>
      </x:c>
    </x:row>
    <x:row r="48">
      <x:c r="A48" t="str">
        <x:f t="shared" si="0"/>
        <x:v>L</x:v>
      </x:c>
      <x:c r="B48" s="1" t="s">
        <x:v>64</x:v>
      </x:c>
      <x:c r="C48" s="41" t="str">
        <x:f>+$B48</x:f>
        <x:v>L</x:v>
      </x:c>
      <x:c r="D48" s="32" t="s">
        <x:v>65</x:v>
      </x:c>
      <x:c r="E48" s="17" t="n">
        <x:v>1</x:v>
      </x:c>
      <x:c r="F48" s="18"/>
      <x:c r="G48" t="str">
        <x:f t="shared" si="1"/>
      </x:c>
      <x:c r="H48" s="38" t="str">
        <x:f>+$B48</x:f>
        <x:v>L</x:v>
      </x:c>
      <x:c r="I48" t="str" cm="1">
        <x:f t="array" ref="I48:I51">_xlfn.SORTBY(D48:D51,E48:E51)</x:f>
        <x:v>England</x:v>
      </x:c>
      <x:c r="K48" t="str">
        <x:f t="shared" si="2"/>
      </x:c>
    </x:row>
    <x:row r="49">
      <x:c r="A49" t="str">
        <x:f t="shared" si="0"/>
        <x:v>L</x:v>
      </x:c>
      <x:c r="B49" s="1" t="s">
        <x:v>64</x:v>
      </x:c>
      <x:c r="C49" s="41"/>
      <x:c r="D49" s="32" t="s">
        <x:v>66</x:v>
      </x:c>
      <x:c r="E49" s="17" t="n">
        <x:v>2</x:v>
      </x:c>
      <x:c r="F49" s="18"/>
      <x:c r="G49" t="str">
        <x:f t="shared" si="1"/>
      </x:c>
      <x:c r="H49" s="38"/>
      <x:c r="I49" t="str">
        <x:v>Kroatia</x:v>
      </x:c>
      <x:c r="K49" t="str">
        <x:f t="shared" si="2"/>
      </x:c>
    </x:row>
    <x:row r="50">
      <x:c r="A50" t="str">
        <x:f t="shared" si="0"/>
        <x:v>L</x:v>
      </x:c>
      <x:c r="B50" s="1" t="s">
        <x:v>64</x:v>
      </x:c>
      <x:c r="C50" s="41"/>
      <x:c r="D50" s="32" t="s">
        <x:v>67</x:v>
      </x:c>
      <x:c r="E50" s="17" t="n">
        <x:v>3</x:v>
      </x:c>
      <x:c r="F50" s="18"/>
      <x:c r="G50" t="str">
        <x:f t="shared" si="1"/>
      </x:c>
      <x:c r="H50" s="38"/>
      <x:c r="I50" s="22" t="str">
        <x:v>Ghana</x:v>
      </x:c>
      <x:c r="K50" t="str">
        <x:f t="shared" si="2"/>
      </x:c>
    </x:row>
    <x:row r="51">
      <x:c r="A51" t="str">
        <x:f t="shared" si="0"/>
        <x:v>L</x:v>
      </x:c>
      <x:c r="B51" s="1" t="s">
        <x:v>64</x:v>
      </x:c>
      <x:c r="C51" s="42"/>
      <x:c r="D51" s="33" t="s">
        <x:v>68</x:v>
      </x:c>
      <x:c r="E51" s="19" t="n">
        <x:v>4</x:v>
      </x:c>
      <x:c r="F51" s="20"/>
      <x:c r="G51" t="str">
        <x:f t="shared" si="1"/>
      </x:c>
      <x:c r="H51" s="38"/>
      <x:c r="I51" s="22" t="str">
        <x:v>Panama</x:v>
      </x:c>
      <x:c r="K51" t="str">
        <x:f t="shared" si="2"/>
      </x:c>
    </x:row>
  </x:sheetData>
  <x:mergeCells>
    <x:mergeCell ref="H36:H39"/>
    <x:mergeCell ref="H40:H43"/>
    <x:mergeCell ref="H44:H47"/>
    <x:mergeCell ref="H48:H51"/>
    <x:mergeCell ref="C4:C7"/>
    <x:mergeCell ref="C8:C11"/>
    <x:mergeCell ref="C12:C15"/>
    <x:mergeCell ref="C16:C19"/>
    <x:mergeCell ref="C20:C23"/>
    <x:mergeCell ref="C24:C27"/>
    <x:mergeCell ref="C28:C31"/>
    <x:mergeCell ref="C32:C35"/>
    <x:mergeCell ref="C36:C39"/>
    <x:mergeCell ref="C40:C43"/>
    <x:mergeCell ref="C44:C47"/>
    <x:mergeCell ref="C48:C51"/>
    <x:mergeCell ref="H16:H19"/>
    <x:mergeCell ref="H20:H23"/>
    <x:mergeCell ref="H24:H27"/>
    <x:mergeCell ref="H28:H31"/>
    <x:mergeCell ref="H32:H35"/>
    <x:mergeCell ref="H2:I3"/>
    <x:mergeCell ref="H4:H7"/>
    <x:mergeCell ref="H8:H11"/>
    <x:mergeCell ref="H12:H15"/>
    <x:mergeCell ref="F1:F3"/>
    <x:mergeCell ref="E1:E3"/>
    <x:mergeCell ref="D1:D3"/>
    <x:mergeCell ref="B1:B3"/>
    <x:mergeCell ref="A1:A3"/>
    <x:mergeCell ref="C1:C3"/>
  </x:mergeCells>
  <x:conditionalFormatting sqref="I6:I6">
    <x:cfRule type="expression" dxfId="13" priority="15">
      <x:formula>SUM($F4:$F7)=1</x:formula>
    </x:cfRule>
  </x:conditionalFormatting>
  <x:conditionalFormatting sqref="I10:I10">
    <x:cfRule type="expression" dxfId="12" priority="14">
      <x:formula>SUM($F8:$F11)=1</x:formula>
    </x:cfRule>
  </x:conditionalFormatting>
  <x:conditionalFormatting sqref="I14:I14">
    <x:cfRule type="expression" dxfId="11" priority="13">
      <x:formula>SUM($F12:$F15)=1</x:formula>
    </x:cfRule>
  </x:conditionalFormatting>
  <x:conditionalFormatting sqref="I18:I18">
    <x:cfRule type="expression" dxfId="10" priority="6">
      <x:formula>SUM($F16:$F19)=1</x:formula>
    </x:cfRule>
  </x:conditionalFormatting>
  <x:conditionalFormatting sqref="I22:I22">
    <x:cfRule type="expression" dxfId="9" priority="11">
      <x:formula>SUM($F20:$F23)=1</x:formula>
    </x:cfRule>
  </x:conditionalFormatting>
  <x:conditionalFormatting sqref="I26:I26">
    <x:cfRule type="expression" dxfId="8" priority="5">
      <x:formula>SUM($F24:$F27)=1</x:formula>
    </x:cfRule>
  </x:conditionalFormatting>
  <x:conditionalFormatting sqref="I30:I30">
    <x:cfRule type="expression" dxfId="7" priority="9">
      <x:formula>SUM($F28:$F31)=1</x:formula>
    </x:cfRule>
  </x:conditionalFormatting>
  <x:conditionalFormatting sqref="I34:I34">
    <x:cfRule type="expression" dxfId="6" priority="4">
      <x:formula>SUM($F32:$F35)=1</x:formula>
    </x:cfRule>
  </x:conditionalFormatting>
  <x:conditionalFormatting sqref="I38:I38">
    <x:cfRule type="expression" dxfId="5" priority="8">
      <x:formula>SUM($F36:$F39)=1</x:formula>
    </x:cfRule>
  </x:conditionalFormatting>
  <x:conditionalFormatting sqref="I42:I42">
    <x:cfRule type="expression" dxfId="4" priority="3">
      <x:formula>SUM($F40:$F43)=1</x:formula>
    </x:cfRule>
  </x:conditionalFormatting>
  <x:conditionalFormatting sqref="I46:I46">
    <x:cfRule type="expression" dxfId="3" priority="7">
      <x:formula>SUM($F44:$F47)=1</x:formula>
    </x:cfRule>
  </x:conditionalFormatting>
  <x:conditionalFormatting sqref="I50:I50">
    <x:cfRule type="expression" dxfId="2" priority="2">
      <x:formula>SUM($F48:$F51)=1</x:formula>
    </x:cfRule>
  </x:conditionalFormatting>
  <x:conditionalFormatting sqref="M1:M3">
    <x:cfRule type="cellIs" dxfId="1" priority="1" operator="equal">
      <x:formula>"OK"</x:formula>
    </x:cfRule>
  </x:conditionalFormatting>
  <x:dataValidations count="2">
    <x:dataValidation type="whole" allowBlank="1" showInputMessage="1" showErrorMessage="1" error="Du må legge inn 1, 2, 3 eller 4" sqref="E4:E51">
      <x:formula1>1</x:formula1>
      <x:formula2>4</x:formula2>
    </x:dataValidation>
    <x:dataValidation type="whole" allowBlank="1" showErrorMessage="1" error="Legg inn et 1-tall" prompt="merk beste treere" sqref="F4:F51">
      <x:formula1>1</x:formula1>
      <x:formula2>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10.81640625" defaultRowHeight="14.5"/>
  <x:cols>
    <x:col min="1" max="3" width="5.54296875" style="1" customWidth="1"/>
    <x:col min="4" max="4" width="25.81640625" style="9" customWidth="1"/>
    <x:col min="5" max="5" width="23.54296875" style="9" customWidth="1"/>
    <x:col min="6" max="6" width="5.26953125" style="11" customWidth="1"/>
    <x:col min="7" max="7" width="20.54296875" style="9" customWidth="1"/>
  </x:cols>
  <x:sheetData>
    <x:row r="1">
      <x:c r="A1" s="23" t="s">
        <x:v>69</x:v>
      </x:c>
      <x:c r="B1" s="23" t="s">
        <x:v>44</x:v>
      </x:c>
      <x:c r="C1" s="23" t="s">
        <x:v>14</x:v>
      </x:c>
      <x:c r="D1" s="24" t="s">
        <x:v>70</x:v>
      </x:c>
      <x:c r="E1" s="24" t="s">
        <x:v>71</x:v>
      </x:c>
      <x:c r="F1" s="25" t="s">
        <x:v>72</x:v>
      </x:c>
      <x:c r="G1" s="24" t="s">
        <x:v>73</x:v>
      </x:c>
      <x:c r="J1" s="46"/>
      <x:c r="K1" s="43"/>
      <x:c r="L1" s="43"/>
    </x:row>
    <x:row r="2">
      <x:c r="A2" s="2">
        <x:v>73</x:v>
      </x:c>
      <x:c r="B2" s="2" t="s">
        <x:v>74</x:v>
      </x:c>
      <x:c r="C2" s="1" t="s">
        <x:v>75</x:v>
      </x:c>
      <x:c r="D2" s="9" t="str" cm="1">
        <x:f t="array" ref="D2:D17">_xlfn.XLOOKUP(B2:B17,Grunnspill!$A:$A,Grunnspill!$D:$D,"-")</x:f>
        <x:v>-</x:v>
      </x:c>
      <x:c r="E2" s="9" t="str" cm="1">
        <x:f t="array" ref="E2:E17">_xlfn.XLOOKUP(C2:C17,Grunnspill!$A:$A,Grunnspill!$D:$D,"-")</x:f>
        <x:v>-</x:v>
      </x:c>
      <x:c r="F2" s="12" t="str">
        <x:v>B</x:v>
      </x:c>
      <x:c r="G2" s="9" t="str">
        <x:f>IF(ISBLANK(F2),"",IF(F2="H",D2,E2))</x:f>
        <x:v>-</x:v>
      </x:c>
      <x:c r="J2" s="45"/>
      <x:c r="K2" s="44"/>
      <x:c r="L2" s="44"/>
    </x:row>
    <x:row r="3">
      <x:c r="A3" s="2">
        <x:v>74</x:v>
      </x:c>
      <x:c r="B3" s="2" t="s">
        <x:v>76</x:v>
      </x:c>
      <x:c r="C3" s="1" t="str">
        <x:f>_xlfn.XLOOKUP('16f'!B3,Annex!$B$1:$I$1,Annex!$B$2:$I$2)</x:f>
        <x:v>v åtte  </x:v>
      </x:c>
      <x:c r="D3" s="9" t="str">
        <x:v>-</x:v>
      </x:c>
      <x:c r="E3" s="9" t="str">
        <x:v>-</x:v>
      </x:c>
      <x:c r="F3" s="12" t="str">
        <x:v>H</x:v>
      </x:c>
      <x:c r="G3" s="9" t="str">
        <x:f t="shared" ref="G3:G17" si="0">IF(ISBLANK(F3),"",IF(F3="H",D3,E3))</x:f>
        <x:v>-</x:v>
      </x:c>
      <x:c r="H3" t="str">
        <x:f>+C3</x:f>
        <x:v>v åtte  </x:v>
      </x:c>
      <x:c r="J3" s="45"/>
      <x:c r="K3" s="44"/>
      <x:c r="L3" s="44"/>
    </x:row>
    <x:row r="4">
      <x:c r="A4" s="2">
        <x:v>75</x:v>
      </x:c>
      <x:c r="B4" s="2" t="s">
        <x:v>77</x:v>
      </x:c>
      <x:c r="C4" s="1" t="s">
        <x:v>78</x:v>
      </x:c>
      <x:c r="D4" s="9" t="str">
        <x:v>-</x:v>
      </x:c>
      <x:c r="E4" s="9" t="str">
        <x:v>-</x:v>
      </x:c>
      <x:c r="F4" s="12" t="str">
        <x:v>H</x:v>
      </x:c>
      <x:c r="G4" s="9" t="str">
        <x:f t="shared" si="0"/>
      </x:c>
      <x:c r="J4" s="45"/>
      <x:c r="K4" s="44"/>
      <x:c r="L4" s="44"/>
    </x:row>
    <x:row r="5">
      <x:c r="A5" s="2">
        <x:v>76</x:v>
      </x:c>
      <x:c r="B5" s="2" t="s">
        <x:v>79</x:v>
      </x:c>
      <x:c r="C5" s="1" t="s">
        <x:v>80</x:v>
      </x:c>
      <x:c r="D5" s="9" t="str">
        <x:v>-</x:v>
      </x:c>
      <x:c r="E5" s="9" t="str">
        <x:v>-</x:v>
      </x:c>
      <x:c r="F5" s="12" t="str">
        <x:v>H</x:v>
      </x:c>
      <x:c r="G5" s="9" t="str">
        <x:f t="shared" si="0"/>
      </x:c>
      <x:c r="J5" s="45"/>
      <x:c r="K5" s="44"/>
      <x:c r="L5" s="44"/>
    </x:row>
    <x:row r="6">
      <x:c r="A6" s="2">
        <x:v>77</x:v>
      </x:c>
      <x:c r="B6" s="2" t="s">
        <x:v>81</x:v>
      </x:c>
      <x:c r="C6" s="1" t="str">
        <x:f>_xlfn.XLOOKUP('16f'!B6,Annex!$B$1:$I$1,Annex!$B$2:$I$2)</x:f>
        <x:v>treere</x:v>
      </x:c>
      <x:c r="D6" s="9" t="str">
        <x:v>-</x:v>
      </x:c>
      <x:c r="E6" s="9" t="str">
        <x:v>-</x:v>
      </x:c>
      <x:c r="F6" s="12" t="str">
        <x:v>H</x:v>
      </x:c>
      <x:c r="G6" s="9" t="str">
        <x:f t="shared" si="0"/>
      </x:c>
      <x:c r="H6" t="str">
        <x:f>+C6</x:f>
        <x:v>treere</x:v>
      </x:c>
      <x:c r="J6" s="45"/>
      <x:c r="K6" s="44"/>
      <x:c r="L6" s="44"/>
    </x:row>
    <x:row r="7">
      <x:c r="A7" s="2">
        <x:v>78</x:v>
      </x:c>
      <x:c r="B7" s="2" t="s">
        <x:v>82</x:v>
      </x:c>
      <x:c r="C7" s="1" t="s">
        <x:v>83</x:v>
      </x:c>
      <x:c r="D7" s="9" t="str">
        <x:v>-</x:v>
      </x:c>
      <x:c r="E7" s="9" t="str">
        <x:v>-</x:v>
      </x:c>
      <x:c r="F7" s="12" t="str">
        <x:v>B</x:v>
      </x:c>
      <x:c r="G7" s="9" t="str">
        <x:f t="shared" si="0"/>
      </x:c>
      <x:c r="J7" s="45"/>
      <x:c r="K7" s="44"/>
      <x:c r="L7" s="44"/>
    </x:row>
    <x:row r="8">
      <x:c r="A8" s="2">
        <x:v>79</x:v>
      </x:c>
      <x:c r="B8" s="2" t="s">
        <x:v>84</x:v>
      </x:c>
      <x:c r="C8" s="1" t="str">
        <x:f>_xlfn.XLOOKUP('16f'!B8,Annex!$B$1:$I$1,Annex!$B$2:$I$2)</x:f>
        <x:v>Avven</x:v>
      </x:c>
      <x:c r="D8" s="9" t="str">
        <x:v>-</x:v>
      </x:c>
      <x:c r="E8" s="9" t="str">
        <x:v>-</x:v>
      </x:c>
      <x:c r="F8" s="12" t="str">
        <x:v>H</x:v>
      </x:c>
      <x:c r="G8" s="9" t="str">
        <x:f t="shared" si="0"/>
      </x:c>
      <x:c r="H8" t="str">
        <x:f t="shared" ref="H8:H11" si="1">+C8</x:f>
        <x:v>Avven</x:v>
      </x:c>
      <x:c r="J8" s="45"/>
      <x:c r="K8" s="44"/>
      <x:c r="L8" s="44"/>
    </x:row>
    <x:row r="9">
      <x:c r="A9" s="2">
        <x:v>80</x:v>
      </x:c>
      <x:c r="B9" s="2" t="s">
        <x:v>85</x:v>
      </x:c>
      <x:c r="C9" s="1" t="str">
        <x:f>_xlfn.XLOOKUP('16f'!B9,Annex!$B$1:$I$1,Annex!$B$2:$I$2)</x:f>
        <x:v>å! Tipp</x:v>
      </x:c>
      <x:c r="D9" s="9" t="str">
        <x:v>-</x:v>
      </x:c>
      <x:c r="E9" s="9" t="str">
        <x:v>-</x:v>
      </x:c>
      <x:c r="F9" s="12" t="str">
        <x:v>H</x:v>
      </x:c>
      <x:c r="G9" s="9" t="str">
        <x:f t="shared" si="0"/>
      </x:c>
      <x:c r="H9" t="str">
        <x:f t="shared" si="1"/>
        <x:v>å! Tipp</x:v>
      </x:c>
      <x:c r="J9" s="45"/>
      <x:c r="K9" s="44"/>
      <x:c r="L9" s="44"/>
    </x:row>
    <x:row r="10">
      <x:c r="A10" s="2">
        <x:v>81</x:v>
      </x:c>
      <x:c r="B10" s="2" t="s">
        <x:v>86</x:v>
      </x:c>
      <x:c r="C10" s="1" t="str">
        <x:f>_xlfn.XLOOKUP('16f'!B10,Annex!$B$1:$I$1,Annex!$B$2:$I$2)</x:f>
        <x:v>t valg a</x:v>
      </x:c>
      <x:c r="D10" s="9" t="str">
        <x:v>-</x:v>
      </x:c>
      <x:c r="E10" s="9" t="str">
        <x:v>-</x:v>
      </x:c>
      <x:c r="F10" s="12" t="str">
        <x:v>H</x:v>
      </x:c>
      <x:c r="G10" s="9" t="str">
        <x:f t="shared" si="0"/>
      </x:c>
      <x:c r="H10" t="str">
        <x:f t="shared" si="1"/>
        <x:v>t valg a</x:v>
      </x:c>
      <x:c r="J10" s="45"/>
      <x:c r="K10" s="44"/>
      <x:c r="L10" s="44"/>
    </x:row>
    <x:row r="11">
      <x:c r="A11" s="2">
        <x:v>82</x:v>
      </x:c>
      <x:c r="B11" s="2" t="s">
        <x:v>87</x:v>
      </x:c>
      <x:c r="C11" s="1" t="str">
        <x:f>_xlfn.XLOOKUP('16f'!B11,Annex!$B$1:$I$1,Annex!$B$2:$I$2)</x:f>
        <x:v>beste</x:v>
      </x:c>
      <x:c r="D11" s="9" t="str">
        <x:v>-</x:v>
      </x:c>
      <x:c r="E11" s="9" t="str">
        <x:v>-</x:v>
      </x:c>
      <x:c r="F11" s="12" t="str">
        <x:v>H</x:v>
      </x:c>
      <x:c r="G11" s="9" t="str">
        <x:f t="shared" si="0"/>
      </x:c>
      <x:c r="H11" t="str">
        <x:f t="shared" si="1"/>
        <x:v>beste</x:v>
      </x:c>
      <x:c r="J11" s="45"/>
      <x:c r="K11" s="44"/>
      <x:c r="L11" s="44"/>
    </x:row>
    <x:row r="12">
      <x:c r="A12" s="2">
        <x:v>83</x:v>
      </x:c>
      <x:c r="B12" s="2" t="s">
        <x:v>88</x:v>
      </x:c>
      <x:c r="C12" s="1" t="s">
        <x:v>89</x:v>
      </x:c>
      <x:c r="D12" s="9" t="str">
        <x:v>-</x:v>
      </x:c>
      <x:c r="E12" s="9" t="str">
        <x:v>-</x:v>
      </x:c>
      <x:c r="F12" s="12" t="str">
        <x:v>H</x:v>
      </x:c>
      <x:c r="G12" s="9" t="str">
        <x:f t="shared" si="0"/>
      </x:c>
      <x:c r="J12" s="45"/>
      <x:c r="K12" s="44"/>
      <x:c r="L12" s="44"/>
    </x:row>
    <x:row r="13">
      <x:c r="A13" s="2">
        <x:v>84</x:v>
      </x:c>
      <x:c r="B13" s="2" t="s">
        <x:v>90</x:v>
      </x:c>
      <x:c r="C13" s="1" t="s">
        <x:v>91</x:v>
      </x:c>
      <x:c r="D13" s="9" t="str">
        <x:v>-</x:v>
      </x:c>
      <x:c r="E13" s="9" t="str">
        <x:v>-</x:v>
      </x:c>
      <x:c r="F13" s="12" t="str">
        <x:v>H</x:v>
      </x:c>
      <x:c r="G13" s="9" t="str">
        <x:f t="shared" si="0"/>
      </x:c>
      <x:c r="J13" s="45"/>
      <x:c r="K13" s="44"/>
      <x:c r="L13" s="44"/>
    </x:row>
    <x:row r="14">
      <x:c r="A14" s="2">
        <x:v>85</x:v>
      </x:c>
      <x:c r="B14" s="2" t="s">
        <x:v>92</x:v>
      </x:c>
      <x:c r="C14" s="1" t="str">
        <x:f>_xlfn.XLOOKUP('16f'!B14,Annex!$B$1:$I$1,Annex!$B$2:$I$2)</x:f>
        <x:v>ter dit</x:v>
      </x:c>
      <x:c r="D14" s="9" t="str">
        <x:v>-</x:v>
      </x:c>
      <x:c r="E14" s="9" t="str">
        <x:v>-</x:v>
      </x:c>
      <x:c r="F14" s="12" t="str">
        <x:v>H</x:v>
      </x:c>
      <x:c r="G14" s="9" t="str">
        <x:f t="shared" si="0"/>
      </x:c>
      <x:c r="H14" t="str">
        <x:f t="shared" ref="H14:H16" si="2">+C14</x:f>
        <x:v>ter dit</x:v>
      </x:c>
      <x:c r="J14" s="45"/>
      <x:c r="K14" s="44"/>
      <x:c r="L14" s="44"/>
    </x:row>
    <x:row r="15">
      <x:c r="A15" s="2">
        <x:v>86</x:v>
      </x:c>
      <x:c r="B15" s="2" t="s">
        <x:v>93</x:v>
      </x:c>
      <x:c r="C15" s="1" t="s">
        <x:v>94</x:v>
      </x:c>
      <x:c r="D15" s="9" t="str">
        <x:v>-</x:v>
      </x:c>
      <x:c r="E15" s="9" t="str">
        <x:v>-</x:v>
      </x:c>
      <x:c r="F15" s="12" t="str">
        <x:v>H</x:v>
      </x:c>
      <x:c r="G15" s="9" t="str">
        <x:f t="shared" si="0"/>
      </x:c>
      <x:c r="J15" s="45"/>
      <x:c r="K15" s="44"/>
      <x:c r="L15" s="44"/>
    </x:row>
    <x:row r="16">
      <x:c r="A16" s="2">
        <x:v>87</x:v>
      </x:c>
      <x:c r="B16" s="2" t="s">
        <x:v>95</x:v>
      </x:c>
      <x:c r="C16" s="1" t="str">
        <x:f>_xlfn.XLOOKUP('16f'!B16,Annex!$B$1:$I$1,Annex!$B$2:$I$2)</x:f>
        <x:v>. Stå p</x:v>
      </x:c>
      <x:c r="D16" s="9" t="str">
        <x:v>-</x:v>
      </x:c>
      <x:c r="E16" s="9" t="str">
        <x:v>-</x:v>
      </x:c>
      <x:c r="F16" s="12" t="str">
        <x:v>H</x:v>
      </x:c>
      <x:c r="G16" s="9" t="str">
        <x:f t="shared" si="0"/>
      </x:c>
      <x:c r="H16" t="str">
        <x:f t="shared" si="2"/>
        <x:v>. Stå p</x:v>
      </x:c>
      <x:c r="J16" s="45"/>
      <x:c r="K16" s="44"/>
      <x:c r="L16" s="44"/>
    </x:row>
    <x:row r="17">
      <x:c r="A17" s="2">
        <x:v>88</x:v>
      </x:c>
      <x:c r="B17" s="2" t="s">
        <x:v>96</x:v>
      </x:c>
      <x:c r="C17" s="1" t="s">
        <x:v>97</x:v>
      </x:c>
      <x:c r="D17" s="9" t="str">
        <x:v>-</x:v>
      </x:c>
      <x:c r="E17" s="9" t="str">
        <x:v>-</x:v>
      </x:c>
      <x:c r="F17" s="12" t="str">
        <x:v>H</x:v>
      </x:c>
      <x:c r="G17" s="9" t="str">
        <x:f t="shared" si="0"/>
      </x:c>
      <x:c r="J17" s="45"/>
      <x:c r="K17" s="44"/>
      <x:c r="L17" s="44"/>
    </x:row>
  </x:sheetData>
  <x:dataValidations count="1">
    <x:dataValidation type="list" allowBlank="1" showInputMessage="1" showErrorMessage="1" sqref="F2:F17">
      <x:formula1>"H,B"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10.81640625" defaultRowHeight="14.5"/>
  <x:cols>
    <x:col min="1" max="3" width="5.54296875" style="1" customWidth="1"/>
    <x:col min="4" max="5" width="25.1796875" style="9" customWidth="1"/>
    <x:col min="6" max="6" width="5.26953125" style="11" customWidth="1"/>
    <x:col min="7" max="7" width="20" style="9" customWidth="1"/>
  </x:cols>
  <x:sheetData>
    <x:row r="1">
      <x:c r="A1" s="23" t="s">
        <x:v>69</x:v>
      </x:c>
      <x:c r="B1" s="23" t="s">
        <x:v>44</x:v>
      </x:c>
      <x:c r="C1" s="23" t="s">
        <x:v>14</x:v>
      </x:c>
      <x:c r="D1" s="24" t="s">
        <x:v>70</x:v>
      </x:c>
      <x:c r="E1" s="24" t="s">
        <x:v>71</x:v>
      </x:c>
      <x:c r="F1" s="25" t="s">
        <x:v>72</x:v>
      </x:c>
      <x:c r="G1" s="24" t="s">
        <x:v>73</x:v>
      </x:c>
    </x:row>
    <x:row r="2">
      <x:c r="A2" s="1">
        <x:v>89</x:v>
      </x:c>
      <x:c r="B2" s="1">
        <x:v>73</x:v>
      </x:c>
      <x:c r="C2" s="1">
        <x:v>75</x:v>
      </x:c>
      <x:c r="D2" s="9" t="str" cm="1">
        <x:f t="array" ref="D2:D9">_xlfn.XLOOKUP(B2:B9,'16f'!$A:$A,'16f'!$G:$G)</x:f>
        <x:v>-</x:v>
      </x:c>
      <x:c r="E2" s="9" t="str" cm="1">
        <x:f t="array" ref="E2:E9">_xlfn.XLOOKUP(C2:C9,'16f'!$A:$A,'16f'!$G:$G)</x:f>
      </x:c>
      <x:c r="F2" s="12" t="str">
        <x:v>B</x:v>
      </x:c>
      <x:c r="G2" s="9" t="str">
        <x:f>IF(ISBLANK(F2),"",IF(F2="H",D2,E2))</x:f>
      </x:c>
    </x:row>
    <x:row r="3">
      <x:c r="A3" s="1">
        <x:v>90</x:v>
      </x:c>
      <x:c r="B3" s="1">
        <x:v>74</x:v>
      </x:c>
      <x:c r="C3" s="1">
        <x:v>77</x:v>
      </x:c>
      <x:c r="D3" s="9" t="str"/>
      <x:c r="E3" s="9" t="str"/>
      <x:c r="F3" s="12" t="str">
        <x:v>B</x:v>
      </x:c>
      <x:c r="G3" s="9" t="e">
        <x:f t="shared" ref="G3:G9" si="0">IF(ISBLANK(F3),"",IF(F3="H",D3,E3))</x:f>
      </x:c>
    </x:row>
    <x:row r="4">
      <x:c r="A4" s="1">
        <x:v>91</x:v>
      </x:c>
      <x:c r="B4" s="1">
        <x:v>76</x:v>
      </x:c>
      <x:c r="C4" s="1">
        <x:v>78</x:v>
      </x:c>
      <x:c r="D4" s="9" t="str"/>
      <x:c r="E4" s="9" t="str"/>
      <x:c r="F4" s="12" t="str">
        <x:v>H</x:v>
      </x:c>
      <x:c r="G4" s="9" t="str">
        <x:f t="shared" si="0"/>
      </x:c>
    </x:row>
    <x:row r="5">
      <x:c r="A5" s="1">
        <x:v>92</x:v>
      </x:c>
      <x:c r="B5" s="1">
        <x:v>79</x:v>
      </x:c>
      <x:c r="C5" s="1">
        <x:v>80</x:v>
      </x:c>
      <x:c r="D5" s="9" t="str"/>
      <x:c r="E5" s="9" t="str"/>
      <x:c r="F5" s="12" t="str">
        <x:v>B</x:v>
      </x:c>
      <x:c r="G5" s="9" t="str">
        <x:f t="shared" si="0"/>
      </x:c>
    </x:row>
    <x:row r="6">
      <x:c r="A6" s="1">
        <x:v>93</x:v>
      </x:c>
      <x:c r="B6" s="1">
        <x:v>83</x:v>
      </x:c>
      <x:c r="C6" s="1">
        <x:v>84</x:v>
      </x:c>
      <x:c r="D6" s="9" t="str"/>
      <x:c r="E6" s="9" t="str"/>
      <x:c r="F6" s="12" t="str">
        <x:v>B</x:v>
      </x:c>
      <x:c r="G6" s="9" t="str">
        <x:f t="shared" si="0"/>
      </x:c>
    </x:row>
    <x:row r="7">
      <x:c r="A7" s="1">
        <x:v>94</x:v>
      </x:c>
      <x:c r="B7" s="1">
        <x:v>81</x:v>
      </x:c>
      <x:c r="C7" s="1">
        <x:v>82</x:v>
      </x:c>
      <x:c r="D7" s="9" t="str"/>
      <x:c r="E7" s="9" t="str"/>
      <x:c r="F7" s="12" t="str">
        <x:v>B</x:v>
      </x:c>
      <x:c r="G7" s="9" t="str">
        <x:f t="shared" si="0"/>
      </x:c>
    </x:row>
    <x:row r="8">
      <x:c r="A8" s="1">
        <x:v>95</x:v>
      </x:c>
      <x:c r="B8" s="1">
        <x:v>86</x:v>
      </x:c>
      <x:c r="C8" s="1">
        <x:v>88</x:v>
      </x:c>
      <x:c r="D8" s="9" t="str"/>
      <x:c r="E8" s="9" t="str"/>
      <x:c r="F8" s="12" t="str">
        <x:v>H</x:v>
      </x:c>
      <x:c r="G8" s="9" t="str">
        <x:f t="shared" si="0"/>
      </x:c>
    </x:row>
    <x:row r="9">
      <x:c r="A9" s="1">
        <x:v>96</x:v>
      </x:c>
      <x:c r="B9" s="1">
        <x:v>85</x:v>
      </x:c>
      <x:c r="C9" s="1">
        <x:v>87</x:v>
      </x:c>
      <x:c r="D9" s="9" t="str"/>
      <x:c r="E9" s="9" t="str"/>
      <x:c r="F9" s="12" t="str">
        <x:v>B</x:v>
      </x:c>
      <x:c r="G9" s="9" t="str">
        <x:f t="shared" si="0"/>
      </x:c>
    </x:row>
  </x:sheetData>
  <x:dataValidations count="1">
    <x:dataValidation type="list" allowBlank="1" showInputMessage="1" showErrorMessage="1" sqref="F2:F9">
      <x:formula1>"H,B"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10.81640625" defaultRowHeight="14.5"/>
  <x:cols>
    <x:col min="1" max="3" width="5.54296875" style="1" customWidth="1"/>
    <x:col min="4" max="5" width="25.1796875" style="9" customWidth="1"/>
    <x:col min="6" max="6" width="5.26953125" style="11" customWidth="1"/>
    <x:col min="7" max="7" width="20" style="9" customWidth="1"/>
  </x:cols>
  <x:sheetData>
    <x:row r="1">
      <x:c r="A1" s="23" t="s">
        <x:v>69</x:v>
      </x:c>
      <x:c r="B1" s="23" t="s">
        <x:v>44</x:v>
      </x:c>
      <x:c r="C1" s="23" t="s">
        <x:v>14</x:v>
      </x:c>
      <x:c r="D1" s="24" t="s">
        <x:v>70</x:v>
      </x:c>
      <x:c r="E1" s="24" t="s">
        <x:v>71</x:v>
      </x:c>
      <x:c r="F1" s="25" t="s">
        <x:v>72</x:v>
      </x:c>
      <x:c r="G1" s="24" t="s">
        <x:v>73</x:v>
      </x:c>
    </x:row>
    <x:row r="2">
      <x:c r="A2" s="1">
        <x:v>97</x:v>
      </x:c>
      <x:c r="B2" s="1">
        <x:v>89</x:v>
      </x:c>
      <x:c r="C2" s="1">
        <x:v>90</x:v>
      </x:c>
      <x:c r="D2" s="9" t="str" cm="1">
        <x:f t="array" ref="D2:D5">_xlfn.XLOOKUP(B2:B5,'8f'!$A:$A,'8f'!$G:$G)</x:f>
      </x:c>
      <x:c r="E2" s="9" t="e" cm="1">
        <x:f t="array" ref="E2:E5">_xlfn.XLOOKUP(C2:C5,'8f'!$A:$A,'8f'!$G:$G)</x:f>
      </x:c>
      <x:c r="F2" s="12" t="str">
        <x:v>B</x:v>
      </x:c>
      <x:c r="G2" s="9" t="e">
        <x:f>IF(ISBLANK(F2),"",IF(F2="H",D2,E2))</x:f>
      </x:c>
    </x:row>
    <x:row r="3">
      <x:c r="A3" s="1">
        <x:v>98</x:v>
      </x:c>
      <x:c r="B3" s="1">
        <x:v>93</x:v>
      </x:c>
      <x:c r="C3" s="1">
        <x:v>94</x:v>
      </x:c>
      <x:c r="D3" s="9" t="str"/>
      <x:c r="E3" s="9" t="str"/>
      <x:c r="F3" s="12" t="str">
        <x:v>H</x:v>
      </x:c>
      <x:c r="G3" s="9" t="e">
        <x:f t="shared" ref="G3:G5" si="0">IF(ISBLANK(F3),"",IF(F3="H",D3,E3))</x:f>
      </x:c>
    </x:row>
    <x:row r="4">
      <x:c r="A4" s="1">
        <x:v>99</x:v>
      </x:c>
      <x:c r="B4" s="1">
        <x:v>91</x:v>
      </x:c>
      <x:c r="C4" s="1">
        <x:v>92</x:v>
      </x:c>
      <x:c r="D4" s="9" t="str"/>
      <x:c r="E4" s="9" t="str"/>
      <x:c r="F4" s="12" t="str">
        <x:v>B</x:v>
      </x:c>
      <x:c r="G4" s="9" t="str">
        <x:f t="shared" si="0"/>
      </x:c>
    </x:row>
    <x:row r="5">
      <x:c r="A5" s="1">
        <x:v>100</x:v>
      </x:c>
      <x:c r="B5" s="1">
        <x:v>95</x:v>
      </x:c>
      <x:c r="C5" s="1">
        <x:v>96</x:v>
      </x:c>
      <x:c r="D5" s="9" t="str"/>
      <x:c r="E5" s="9" t="str"/>
      <x:c r="F5" s="12" t="str">
        <x:v>H</x:v>
      </x:c>
      <x:c r="G5" s="9" t="str">
        <x:f t="shared" si="0"/>
      </x:c>
    </x:row>
  </x:sheetData>
  <x:dataValidations count="1">
    <x:dataValidation type="list" allowBlank="1" showInputMessage="1" showErrorMessage="1" sqref="F2:F5">
      <x:formula1>"H,B"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10.81640625" defaultRowHeight="14.5"/>
  <x:cols>
    <x:col min="1" max="3" width="5.54296875" style="1" customWidth="1"/>
    <x:col min="4" max="5" width="25.1796875" style="9" customWidth="1"/>
    <x:col min="6" max="6" width="5.26953125" style="11" customWidth="1"/>
    <x:col min="7" max="7" width="20" style="9" customWidth="1"/>
  </x:cols>
  <x:sheetData>
    <x:row r="1">
      <x:c r="A1" s="23" t="s">
        <x:v>69</x:v>
      </x:c>
      <x:c r="B1" s="23" t="s">
        <x:v>44</x:v>
      </x:c>
      <x:c r="C1" s="23" t="s">
        <x:v>14</x:v>
      </x:c>
      <x:c r="D1" s="24" t="s">
        <x:v>70</x:v>
      </x:c>
      <x:c r="E1" s="24" t="s">
        <x:v>71</x:v>
      </x:c>
      <x:c r="F1" s="25" t="s">
        <x:v>72</x:v>
      </x:c>
      <x:c r="G1" s="24" t="s">
        <x:v>73</x:v>
      </x:c>
    </x:row>
    <x:row r="2">
      <x:c r="A2" s="1">
        <x:v>101</x:v>
      </x:c>
      <x:c r="B2" s="1" t="n" cm="1">
        <x:f t="array" ref="B2:C3">_xlfn.SEQUENCE(2,2,97,1)</x:f>
        <x:v>97</x:v>
      </x:c>
      <x:c r="C2" s="1" t="n">
        <x:v>98</x:v>
      </x:c>
      <x:c r="D2" s="9" t="e" cm="1">
        <x:f t="array" ref="D2:D3">_xlfn.XLOOKUP(B2:B3,'4f'!$A:$A,'4f'!$G:$G)</x:f>
      </x:c>
      <x:c r="E2" s="9" t="e" cm="1">
        <x:f t="array" ref="E2:E3">_xlfn.XLOOKUP(C2:C3,'4f'!$A:$A,'4f'!$G:$G)</x:f>
      </x:c>
      <x:c r="F2" s="12" t="str">
        <x:v>B</x:v>
      </x:c>
      <x:c r="G2" s="9" t="e">
        <x:f>IF(ISBLANK(F2),"",IF(F2="H",D2,E2))</x:f>
      </x:c>
    </x:row>
    <x:row r="3">
      <x:c r="A3" s="1">
        <x:v>102</x:v>
      </x:c>
      <x:c r="B3" s="1" t="n">
        <x:v>99</x:v>
      </x:c>
      <x:c r="C3" s="1" t="n">
        <x:v>100</x:v>
      </x:c>
      <x:c r="D3" s="9" t="str"/>
      <x:c r="E3" s="9" t="str"/>
      <x:c r="F3" s="12" t="str">
        <x:v>B</x:v>
      </x:c>
      <x:c r="G3" s="9" t="e">
        <x:f t="shared" ref="G3" si="0">IF(ISBLANK(F3),"",IF(F3="H",D3,E3))</x:f>
      </x:c>
    </x:row>
  </x:sheetData>
  <x:dataValidations count="1">
    <x:dataValidation type="list" allowBlank="1" showInputMessage="1" showErrorMessage="1" sqref="F2:F3">
      <x:formula1>"H,B"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10.81640625" defaultRowHeight="14.5"/>
  <x:cols>
    <x:col min="1" max="3" width="5.54296875" style="1" customWidth="1"/>
    <x:col min="4" max="5" width="25.1796875" style="9" customWidth="1"/>
    <x:col min="6" max="6" width="5.26953125" style="11" customWidth="1"/>
    <x:col min="7" max="7" width="20" style="9" customWidth="1"/>
  </x:cols>
  <x:sheetData>
    <x:row r="1">
      <x:c r="A1" s="23" t="s">
        <x:v>69</x:v>
      </x:c>
      <x:c r="B1" s="23" t="s">
        <x:v>44</x:v>
      </x:c>
      <x:c r="C1" s="23" t="s">
        <x:v>14</x:v>
      </x:c>
      <x:c r="D1" s="24" t="s">
        <x:v>70</x:v>
      </x:c>
      <x:c r="E1" s="24" t="s">
        <x:v>71</x:v>
      </x:c>
      <x:c r="F1" s="25" t="s">
        <x:v>72</x:v>
      </x:c>
      <x:c r="G1" s="24" t="s">
        <x:v>73</x:v>
      </x:c>
    </x:row>
    <x:row r="2">
      <x:c r="A2" s="1">
        <x:v>104</x:v>
      </x:c>
      <x:c r="B2" s="1" t="n" cm="1">
        <x:f t="array" ref="B2:C2">_xlfn.SEQUENCE(1,2,101,1)</x:f>
        <x:v>101</x:v>
      </x:c>
      <x:c r="C2" s="1" t="n">
        <x:v>102</x:v>
      </x:c>
      <x:c r="D2" s="9" t="e" cm="1">
        <x:f t="array" ref="D2">_xlfn.XLOOKUP(B2:B2,'2f'!$A:$A,'2f'!$G:$G)</x:f>
      </x:c>
      <x:c r="E2" s="9" t="e" cm="1">
        <x:f t="array" ref="E2">_xlfn.XLOOKUP(C2:C2,'2f'!$A:$A,'2f'!$G:$G)</x:f>
      </x:c>
      <x:c r="F2" s="12" t="str">
        <x:v>H</x:v>
      </x:c>
      <x:c r="G2" s="9" t="e">
        <x:f>IF(ISBLANK(F2),"",IF(F2="H",D2,E2))</x:f>
      </x:c>
    </x:row>
  </x:sheetData>
  <x:dataValidations count="1">
    <x:dataValidation type="list" allowBlank="1" showInputMessage="1" showErrorMessage="1" sqref="F2">
      <x:formula1>"H,B"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10.81640625" defaultRowHeight="14.5"/>
  <x:cols>
    <x:col min="1" max="1" width="7.453125" customWidth="1"/>
    <x:col min="2" max="9" width="5.1796875" style="1" customWidth="1"/>
    <x:col min="10" max="10" width="5.1796875" customWidth="1"/>
    <x:col min="11" max="18" width="3.26953125" customWidth="1"/>
    <x:col min="19" max="19" width="5" customWidth="1"/>
  </x:cols>
  <x:sheetData>
    <x:row r="1">
      <x:c r="A1" t="s">
        <x:v>98</x:v>
      </x:c>
      <x:c r="B1" s="1" t="s">
        <x:v>84</x:v>
      </x:c>
      <x:c r="C1" s="1" t="s">
        <x:v>92</x:v>
      </x:c>
      <x:c r="D1" s="1" t="s">
        <x:v>86</x:v>
      </x:c>
      <x:c r="E1" s="1" t="s">
        <x:v>76</x:v>
      </x:c>
      <x:c r="F1" s="1" t="s">
        <x:v>87</x:v>
      </x:c>
      <x:c r="G1" s="1" t="s">
        <x:v>81</x:v>
      </x:c>
      <x:c r="H1" s="1" t="s">
        <x:v>95</x:v>
      </x:c>
      <x:c r="I1" s="1" t="s">
        <x:v>85</x:v>
      </x:c>
      <x:c r="K1" t="s">
        <x:v>99</x:v>
      </x:c>
      <x:c r="T1" t="s">
        <x:v>100</x:v>
      </x:c>
    </x:row>
    <x:row r="2">
      <x:c r="A2" s="1">
        <x:v>8</x:v>
      </x:c>
      <x:c r="B2" s="1" t="str">
        <x:f>_xlfn.XLOOKUP($A$2,$J$4:$J$498,B4:B498,B3)</x:f>
        <x:v>Avven</x:v>
      </x:c>
      <x:c r="C2" s="1" t="str">
        <x:f t="shared" ref="C2:I2" si="0">_xlfn.XLOOKUP($A$2,$J$4:$J$498,C4:C498,C3)</x:f>
        <x:v>ter dit</x:v>
      </x:c>
      <x:c r="D2" s="1" t="str">
        <x:f t="shared" si="0"/>
        <x:v>t valg a</x:v>
      </x:c>
      <x:c r="E2" s="1" t="str">
        <x:f t="shared" si="0"/>
        <x:v>v åtte  </x:v>
      </x:c>
      <x:c r="F2" s="1" t="str">
        <x:f t="shared" si="0"/>
        <x:v>beste</x:v>
      </x:c>
      <x:c r="G2" s="1" t="str">
        <x:f t="shared" si="0"/>
        <x:v>treere</x:v>
      </x:c>
      <x:c r="H2" s="1" t="str">
        <x:f t="shared" si="0"/>
        <x:v>. Stå p</x:v>
      </x:c>
      <x:c r="I2" s="1" t="str">
        <x:f t="shared" si="0"/>
        <x:v>å! Tipp</x:v>
      </x:c>
      <x:c r="T2" t="s">
        <x:v>101</x:v>
      </x:c>
    </x:row>
    <x:row r="3">
      <x:c r="B3" s="47" t="s">
        <x:v>102</x:v>
      </x:c>
      <x:c r="C3" s="47" t="s">
        <x:v>103</x:v>
      </x:c>
      <x:c r="D3" s="47" t="s">
        <x:v>104</x:v>
      </x:c>
      <x:c r="E3" s="47" t="s">
        <x:v>105</x:v>
      </x:c>
      <x:c r="F3" s="47" t="s">
        <x:v>106</x:v>
      </x:c>
      <x:c r="G3" s="47" t="s">
        <x:v>107</x:v>
      </x:c>
      <x:c r="H3" s="47" t="s">
        <x:v>108</x:v>
      </x:c>
      <x:c r="I3" s="47" t="s">
        <x:v>109</x:v>
      </x:c>
      <x:c r="T3" t="s">
        <x:v>110</x:v>
      </x:c>
    </x:row>
    <x:row r="4">
      <x:c r="A4">
        <x:v>1</x:v>
      </x:c>
      <x:c r="B4" s="1" t="s">
        <x:v>111</x:v>
      </x:c>
      <x:c r="C4" s="1" t="s">
        <x:v>112</x:v>
      </x:c>
      <x:c r="D4" s="1" t="s">
        <x:v>113</x:v>
      </x:c>
      <x:c r="E4" s="1" t="s">
        <x:v>114</x:v>
      </x:c>
      <x:c r="F4" s="1" t="s">
        <x:v>115</x:v>
      </x:c>
      <x:c r="G4" s="1" t="s">
        <x:v>116</x:v>
      </x:c>
      <x:c r="H4" s="1" t="s">
        <x:v>117</x:v>
      </x:c>
      <x:c r="I4" s="1" t="s">
        <x:v>118</x:v>
      </x:c>
      <x:c r="J4" t="n">
        <x:f t="shared" ref="J4:J21" si="1">SUM(K4:R4)</x:f>
        <x:v>0</x:v>
      </x:c>
      <x:c r="K4" t="n">
        <x:f>COUNTIFS(Grunnspill!$A:$A,Annex!B4)</x:f>
        <x:v>0</x:v>
      </x:c>
      <x:c r="L4" t="n">
        <x:f>COUNTIFS(Grunnspill!$A:$A,Annex!C4)</x:f>
        <x:v>0</x:v>
      </x:c>
      <x:c r="M4" t="n">
        <x:f>COUNTIFS(Grunnspill!$A:$A,Annex!D4)</x:f>
        <x:v>0</x:v>
      </x:c>
      <x:c r="N4" t="n">
        <x:f>COUNTIFS(Grunnspill!$A:$A,Annex!E4)</x:f>
        <x:v>0</x:v>
      </x:c>
      <x:c r="O4" t="n">
        <x:f>COUNTIFS(Grunnspill!$A:$A,Annex!F4)</x:f>
        <x:v>0</x:v>
      </x:c>
      <x:c r="P4" t="n">
        <x:f>COUNTIFS(Grunnspill!$A:$A,Annex!G4)</x:f>
        <x:v>0</x:v>
      </x:c>
      <x:c r="Q4" t="n">
        <x:f>COUNTIFS(Grunnspill!$A:$A,Annex!H4)</x:f>
        <x:v>0</x:v>
      </x:c>
      <x:c r="R4" t="n">
        <x:f>COUNTIFS(Grunnspill!$A:$A,Annex!I4)</x:f>
        <x:v>0</x:v>
      </x:c>
      <x:c r="T4" t="s">
        <x:v>119</x:v>
      </x:c>
    </x:row>
    <x:row r="5">
      <x:c r="A5">
        <x:v>2</x:v>
      </x:c>
      <x:c r="B5" s="1" t="s">
        <x:v>115</x:v>
      </x:c>
      <x:c r="C5" s="1" t="s">
        <x:v>116</x:v>
      </x:c>
      <x:c r="D5" s="1" t="s">
        <x:v>113</x:v>
      </x:c>
      <x:c r="E5" s="1" t="s">
        <x:v>120</x:v>
      </x:c>
      <x:c r="F5" s="1" t="s">
        <x:v>112</x:v>
      </x:c>
      <x:c r="G5" s="1" t="s">
        <x:v>114</x:v>
      </x:c>
      <x:c r="H5" s="1" t="s">
        <x:v>117</x:v>
      </x:c>
      <x:c r="I5" s="1" t="s">
        <x:v>118</x:v>
      </x:c>
      <x:c r="J5">
        <x:f t="shared" si="1"/>
        <x:v>0</x:v>
      </x:c>
      <x:c r="K5" t="n">
        <x:f>COUNTIFS(Grunnspill!$A:$A,Annex!B5)</x:f>
        <x:v>0</x:v>
      </x:c>
      <x:c r="L5" t="n">
        <x:f>COUNTIFS(Grunnspill!$A:$A,Annex!C5)</x:f>
        <x:v>0</x:v>
      </x:c>
      <x:c r="M5" t="n">
        <x:f>COUNTIFS(Grunnspill!$A:$A,Annex!D5)</x:f>
        <x:v>0</x:v>
      </x:c>
      <x:c r="N5" t="n">
        <x:f>COUNTIFS(Grunnspill!$A:$A,Annex!E5)</x:f>
        <x:v>0</x:v>
      </x:c>
      <x:c r="O5" t="n">
        <x:f>COUNTIFS(Grunnspill!$A:$A,Annex!F5)</x:f>
        <x:v>0</x:v>
      </x:c>
      <x:c r="P5" t="n">
        <x:f>COUNTIFS(Grunnspill!$A:$A,Annex!G5)</x:f>
        <x:v>0</x:v>
      </x:c>
      <x:c r="Q5" t="n">
        <x:f>COUNTIFS(Grunnspill!$A:$A,Annex!H5)</x:f>
        <x:v>0</x:v>
      </x:c>
      <x:c r="R5" t="n">
        <x:f>COUNTIFS(Grunnspill!$A:$A,Annex!I5)</x:f>
        <x:v>0</x:v>
      </x:c>
    </x:row>
    <x:row r="6">
      <x:c r="A6">
        <x:v>3</x:v>
      </x:c>
      <x:c r="B6" s="1" t="s">
        <x:v>111</x:v>
      </x:c>
      <x:c r="C6" s="1" t="s">
        <x:v>112</x:v>
      </x:c>
      <x:c r="D6" s="1" t="s">
        <x:v>113</x:v>
      </x:c>
      <x:c r="E6" s="1" t="s">
        <x:v>120</x:v>
      </x:c>
      <x:c r="F6" s="1" t="s">
        <x:v>115</x:v>
      </x:c>
      <x:c r="G6" s="1" t="s">
        <x:v>116</x:v>
      </x:c>
      <x:c r="H6" s="1" t="s">
        <x:v>117</x:v>
      </x:c>
      <x:c r="I6" s="1" t="s">
        <x:v>118</x:v>
      </x:c>
      <x:c r="J6">
        <x:f t="shared" si="1"/>
        <x:v>0</x:v>
      </x:c>
      <x:c r="K6" t="n">
        <x:f>COUNTIFS(Grunnspill!$A:$A,Annex!B6)</x:f>
        <x:v>0</x:v>
      </x:c>
      <x:c r="L6" t="n">
        <x:f>COUNTIFS(Grunnspill!$A:$A,Annex!C6)</x:f>
        <x:v>0</x:v>
      </x:c>
      <x:c r="M6" t="n">
        <x:f>COUNTIFS(Grunnspill!$A:$A,Annex!D6)</x:f>
        <x:v>0</x:v>
      </x:c>
      <x:c r="N6" t="n">
        <x:f>COUNTIFS(Grunnspill!$A:$A,Annex!E6)</x:f>
        <x:v>0</x:v>
      </x:c>
      <x:c r="O6" t="n">
        <x:f>COUNTIFS(Grunnspill!$A:$A,Annex!F6)</x:f>
        <x:v>0</x:v>
      </x:c>
      <x:c r="P6" t="n">
        <x:f>COUNTIFS(Grunnspill!$A:$A,Annex!G6)</x:f>
        <x:v>0</x:v>
      </x:c>
      <x:c r="Q6" t="n">
        <x:f>COUNTIFS(Grunnspill!$A:$A,Annex!H6)</x:f>
        <x:v>0</x:v>
      </x:c>
      <x:c r="R6" t="n">
        <x:f>COUNTIFS(Grunnspill!$A:$A,Annex!I6)</x:f>
        <x:v>0</x:v>
      </x:c>
      <x:c r="T6" s="1" t="str" cm="1">
        <x:f t="array" ref="T6:AA6">+B1:I1</x:f>
        <x:v>1A</x:v>
      </x:c>
      <x:c r="U6" s="1" t="str">
        <x:v>1B</x:v>
      </x:c>
      <x:c r="V6" s="1" t="str">
        <x:v>1D</x:v>
      </x:c>
      <x:c r="W6" s="1" t="str">
        <x:v>1E</x:v>
      </x:c>
      <x:c r="X6" s="1" t="str">
        <x:v>1G</x:v>
      </x:c>
      <x:c r="Y6" s="1" t="str">
        <x:v>1I</x:v>
      </x:c>
      <x:c r="Z6" s="1" t="str">
        <x:v>1K</x:v>
      </x:c>
      <x:c r="AA6" s="1" t="str">
        <x:v>1L</x:v>
      </x:c>
    </x:row>
    <x:row r="7">
      <x:c r="A7">
        <x:v>4</x:v>
      </x:c>
      <x:c r="B7" s="1" t="s">
        <x:v>111</x:v>
      </x:c>
      <x:c r="C7" s="1" t="s">
        <x:v>112</x:v>
      </x:c>
      <x:c r="D7" s="1" t="s">
        <x:v>113</x:v>
      </x:c>
      <x:c r="E7" s="1" t="s">
        <x:v>120</x:v>
      </x:c>
      <x:c r="F7" s="1" t="s">
        <x:v>115</x:v>
      </x:c>
      <x:c r="G7" s="1" t="s">
        <x:v>114</x:v>
      </x:c>
      <x:c r="H7" s="1" t="s">
        <x:v>117</x:v>
      </x:c>
      <x:c r="I7" s="1" t="s">
        <x:v>118</x:v>
      </x:c>
      <x:c r="J7">
        <x:f t="shared" si="1"/>
        <x:v>0</x:v>
      </x:c>
      <x:c r="K7" t="n">
        <x:f>COUNTIFS(Grunnspill!$A:$A,Annex!B7)</x:f>
        <x:v>0</x:v>
      </x:c>
      <x:c r="L7" t="n">
        <x:f>COUNTIFS(Grunnspill!$A:$A,Annex!C7)</x:f>
        <x:v>0</x:v>
      </x:c>
      <x:c r="M7" t="n">
        <x:f>COUNTIFS(Grunnspill!$A:$A,Annex!D7)</x:f>
        <x:v>0</x:v>
      </x:c>
      <x:c r="N7" t="n">
        <x:f>COUNTIFS(Grunnspill!$A:$A,Annex!E7)</x:f>
        <x:v>0</x:v>
      </x:c>
      <x:c r="O7" t="n">
        <x:f>COUNTIFS(Grunnspill!$A:$A,Annex!F7)</x:f>
        <x:v>0</x:v>
      </x:c>
      <x:c r="P7" t="n">
        <x:f>COUNTIFS(Grunnspill!$A:$A,Annex!G7)</x:f>
        <x:v>0</x:v>
      </x:c>
      <x:c r="Q7" t="n">
        <x:f>COUNTIFS(Grunnspill!$A:$A,Annex!H7)</x:f>
        <x:v>0</x:v>
      </x:c>
      <x:c r="R7" t="n">
        <x:f>COUNTIFS(Grunnspill!$A:$A,Annex!I7)</x:f>
        <x:v>0</x:v>
      </x:c>
      <x:c r="T7" s="1" t="n">
        <x:f>COUNTIFS(B4:B498,"3I")</x:f>
        <x:v>19</x:v>
      </x:c>
      <x:c r="U7" s="1" t="n">
        <x:f>COUNTIFS(C4:C498,"3I")</x:f>
        <x:v>14</x:v>
      </x:c>
      <x:c r="V7" s="1" t="n">
        <x:f>COUNTIFS(D4:D498,"3I")</x:f>
        <x:v>52</x:v>
      </x:c>
      <x:c r="W7" s="1" t="n">
        <x:f>COUNTIFS(E4:E498,"3I")</x:f>
        <x:v>0</x:v>
      </x:c>
      <x:c r="X7" s="1" t="n">
        <x:f>COUNTIFS(F4:F498,"3I")</x:f>
        <x:v>41</x:v>
      </x:c>
      <x:c r="Y7" s="1" t="n">
        <x:f>COUNTIFS(G4:G498,"3I")</x:f>
        <x:v>0</x:v>
      </x:c>
      <x:c r="Z7" s="1" t="n">
        <x:f>COUNTIFS(H4:H498,"3I")</x:f>
        <x:v>91</x:v>
      </x:c>
      <x:c r="AA7" s="1" t="n">
        <x:f>COUNTIFS(I4:I498,"3I")</x:f>
        <x:v>113</x:v>
      </x:c>
    </x:row>
    <x:row r="8">
      <x:c r="A8">
        <x:v>5</x:v>
      </x:c>
      <x:c r="B8" s="1" t="s">
        <x:v>111</x:v>
      </x:c>
      <x:c r="C8" s="1" t="s">
        <x:v>116</x:v>
      </x:c>
      <x:c r="D8" s="1" t="s">
        <x:v>113</x:v>
      </x:c>
      <x:c r="E8" s="1" t="s">
        <x:v>120</x:v>
      </x:c>
      <x:c r="F8" s="1" t="s">
        <x:v>112</x:v>
      </x:c>
      <x:c r="G8" s="1" t="s">
        <x:v>114</x:v>
      </x:c>
      <x:c r="H8" s="1" t="s">
        <x:v>117</x:v>
      </x:c>
      <x:c r="I8" s="1" t="s">
        <x:v>118</x:v>
      </x:c>
      <x:c r="J8">
        <x:f t="shared" si="1"/>
        <x:v>0</x:v>
      </x:c>
      <x:c r="K8" t="n">
        <x:f>COUNTIFS(Grunnspill!$A:$A,Annex!B8)</x:f>
        <x:v>0</x:v>
      </x:c>
      <x:c r="L8" t="n">
        <x:f>COUNTIFS(Grunnspill!$A:$A,Annex!C8)</x:f>
        <x:v>0</x:v>
      </x:c>
      <x:c r="M8" t="n">
        <x:f>COUNTIFS(Grunnspill!$A:$A,Annex!D8)</x:f>
        <x:v>0</x:v>
      </x:c>
      <x:c r="N8" t="n">
        <x:f>COUNTIFS(Grunnspill!$A:$A,Annex!E8)</x:f>
        <x:v>0</x:v>
      </x:c>
      <x:c r="O8" t="n">
        <x:f>COUNTIFS(Grunnspill!$A:$A,Annex!F8)</x:f>
        <x:v>0</x:v>
      </x:c>
      <x:c r="P8" t="n">
        <x:f>COUNTIFS(Grunnspill!$A:$A,Annex!G8)</x:f>
        <x:v>0</x:v>
      </x:c>
      <x:c r="Q8" t="n">
        <x:f>COUNTIFS(Grunnspill!$A:$A,Annex!H8)</x:f>
        <x:v>0</x:v>
      </x:c>
      <x:c r="R8" t="n">
        <x:f>COUNTIFS(Grunnspill!$A:$A,Annex!I8)</x:f>
        <x:v>0</x:v>
      </x:c>
      <x:c r="T8" t="str" cm="1">
        <x:f t="array" ref="T8:T11">+Grunnspill!D4:D7</x:f>
        <x:v>Mexico</x:v>
      </x:c>
      <x:c r="U8" t="str" cm="1">
        <x:f t="array" ref="U8:U11">+Grunnspill!D8:D11</x:f>
        <x:v>Canada</x:v>
      </x:c>
      <x:c r="V8" t="str" cm="1">
        <x:f t="array" ref="V8:V11">+Grunnspill!D16:D19</x:f>
        <x:v>USA</x:v>
      </x:c>
      <x:c r="X8" t="str" cm="1">
        <x:f t="array" ref="X8:X11">+Grunnspill!D28:D31</x:f>
        <x:v>Belgia</x:v>
      </x:c>
      <x:c r="Z8" t="str" cm="1">
        <x:f t="array" ref="Z8:Z11">+Grunnspill!D44:D47</x:f>
        <x:v>Portugal</x:v>
      </x:c>
      <x:c r="AA8" t="str" cm="1">
        <x:f t="array" ref="AA8:AA11">+Grunnspill!D48:D51</x:f>
        <x:v>England</x:v>
      </x:c>
    </x:row>
    <x:row r="9">
      <x:c r="A9">
        <x:v>6</x:v>
      </x:c>
      <x:c r="B9" s="1" t="s">
        <x:v>111</x:v>
      </x:c>
      <x:c r="C9" s="1" t="s">
        <x:v>116</x:v>
      </x:c>
      <x:c r="D9" s="1" t="s">
        <x:v>112</x:v>
      </x:c>
      <x:c r="E9" s="1" t="s">
        <x:v>120</x:v>
      </x:c>
      <x:c r="F9" s="1" t="s">
        <x:v>115</x:v>
      </x:c>
      <x:c r="G9" s="1" t="s">
        <x:v>114</x:v>
      </x:c>
      <x:c r="H9" s="1" t="s">
        <x:v>117</x:v>
      </x:c>
      <x:c r="I9" s="1" t="s">
        <x:v>118</x:v>
      </x:c>
      <x:c r="J9">
        <x:f t="shared" si="1"/>
        <x:v>0</x:v>
      </x:c>
      <x:c r="K9" t="n">
        <x:f>COUNTIFS(Grunnspill!$A:$A,Annex!B9)</x:f>
        <x:v>0</x:v>
      </x:c>
      <x:c r="L9" t="n">
        <x:f>COUNTIFS(Grunnspill!$A:$A,Annex!C9)</x:f>
        <x:v>0</x:v>
      </x:c>
      <x:c r="M9" t="n">
        <x:f>COUNTIFS(Grunnspill!$A:$A,Annex!D9)</x:f>
        <x:v>0</x:v>
      </x:c>
      <x:c r="N9" t="n">
        <x:f>COUNTIFS(Grunnspill!$A:$A,Annex!E9)</x:f>
        <x:v>0</x:v>
      </x:c>
      <x:c r="O9" t="n">
        <x:f>COUNTIFS(Grunnspill!$A:$A,Annex!F9)</x:f>
        <x:v>0</x:v>
      </x:c>
      <x:c r="P9" t="n">
        <x:f>COUNTIFS(Grunnspill!$A:$A,Annex!G9)</x:f>
        <x:v>0</x:v>
      </x:c>
      <x:c r="Q9" t="n">
        <x:f>COUNTIFS(Grunnspill!$A:$A,Annex!H9)</x:f>
        <x:v>0</x:v>
      </x:c>
      <x:c r="R9" t="n">
        <x:f>COUNTIFS(Grunnspill!$A:$A,Annex!I9)</x:f>
        <x:v>0</x:v>
      </x:c>
      <x:c r="T9" t="str">
        <x:v>Sør-Afrika</x:v>
      </x:c>
      <x:c r="U9" t="str">
        <x:v>Bosnia-Hercegovina</x:v>
      </x:c>
      <x:c r="V9" t="str">
        <x:v>Paraguay</x:v>
      </x:c>
      <x:c r="X9" t="str">
        <x:v>Iran</x:v>
      </x:c>
      <x:c r="Z9" t="str">
        <x:v>DR Kongo</x:v>
      </x:c>
      <x:c r="AA9" t="str">
        <x:v>Kroatia</x:v>
      </x:c>
    </x:row>
    <x:row r="10">
      <x:c r="A10">
        <x:v>7</x:v>
      </x:c>
      <x:c r="B10" s="1" t="s">
        <x:v>111</x:v>
      </x:c>
      <x:c r="C10" s="1" t="s">
        <x:v>116</x:v>
      </x:c>
      <x:c r="D10" s="1" t="s">
        <x:v>113</x:v>
      </x:c>
      <x:c r="E10" s="1" t="s">
        <x:v>120</x:v>
      </x:c>
      <x:c r="F10" s="1" t="s">
        <x:v>115</x:v>
      </x:c>
      <x:c r="G10" s="1" t="s">
        <x:v>114</x:v>
      </x:c>
      <x:c r="H10" s="1" t="s">
        <x:v>117</x:v>
      </x:c>
      <x:c r="I10" s="1" t="s">
        <x:v>118</x:v>
      </x:c>
      <x:c r="J10">
        <x:f t="shared" si="1"/>
        <x:v>0</x:v>
      </x:c>
      <x:c r="K10" t="n">
        <x:f>COUNTIFS(Grunnspill!$A:$A,Annex!B10)</x:f>
        <x:v>0</x:v>
      </x:c>
      <x:c r="L10" t="n">
        <x:f>COUNTIFS(Grunnspill!$A:$A,Annex!C10)</x:f>
        <x:v>0</x:v>
      </x:c>
      <x:c r="M10" t="n">
        <x:f>COUNTIFS(Grunnspill!$A:$A,Annex!D10)</x:f>
        <x:v>0</x:v>
      </x:c>
      <x:c r="N10" t="n">
        <x:f>COUNTIFS(Grunnspill!$A:$A,Annex!E10)</x:f>
        <x:v>0</x:v>
      </x:c>
      <x:c r="O10" t="n">
        <x:f>COUNTIFS(Grunnspill!$A:$A,Annex!F10)</x:f>
        <x:v>0</x:v>
      </x:c>
      <x:c r="P10" t="n">
        <x:f>COUNTIFS(Grunnspill!$A:$A,Annex!G10)</x:f>
        <x:v>0</x:v>
      </x:c>
      <x:c r="Q10" t="n">
        <x:f>COUNTIFS(Grunnspill!$A:$A,Annex!H10)</x:f>
        <x:v>0</x:v>
      </x:c>
      <x:c r="R10" t="n">
        <x:f>COUNTIFS(Grunnspill!$A:$A,Annex!I10)</x:f>
        <x:v>0</x:v>
      </x:c>
      <x:c r="T10" t="str">
        <x:v>Sør-Korea</x:v>
      </x:c>
      <x:c r="U10" t="str">
        <x:v>Qatar</x:v>
      </x:c>
      <x:c r="V10" t="str">
        <x:v>Australia</x:v>
      </x:c>
      <x:c r="X10" t="str">
        <x:v>Egypt</x:v>
      </x:c>
      <x:c r="Z10" t="str">
        <x:v>Usbekistan</x:v>
      </x:c>
      <x:c r="AA10" t="str">
        <x:v>Ghana</x:v>
      </x:c>
    </x:row>
    <x:row r="11">
      <x:c r="A11">
        <x:v>8</x:v>
      </x:c>
      <x:c r="B11" s="1" t="s">
        <x:v>111</x:v>
      </x:c>
      <x:c r="C11" s="1" t="s">
        <x:v>116</x:v>
      </x:c>
      <x:c r="D11" s="1" t="s">
        <x:v>112</x:v>
      </x:c>
      <x:c r="E11" s="1" t="s">
        <x:v>120</x:v>
      </x:c>
      <x:c r="F11" s="1" t="s">
        <x:v>115</x:v>
      </x:c>
      <x:c r="G11" s="1" t="s">
        <x:v>114</x:v>
      </x:c>
      <x:c r="H11" s="1" t="s">
        <x:v>117</x:v>
      </x:c>
      <x:c r="I11" s="1" t="s">
        <x:v>113</x:v>
      </x:c>
      <x:c r="J11">
        <x:f t="shared" si="1"/>
        <x:v>0</x:v>
      </x:c>
      <x:c r="K11" t="n">
        <x:f>COUNTIFS(Grunnspill!$A:$A,Annex!B11)</x:f>
        <x:v>0</x:v>
      </x:c>
      <x:c r="L11" t="n">
        <x:f>COUNTIFS(Grunnspill!$A:$A,Annex!C11)</x:f>
        <x:v>0</x:v>
      </x:c>
      <x:c r="M11" t="n">
        <x:f>COUNTIFS(Grunnspill!$A:$A,Annex!D11)</x:f>
        <x:v>0</x:v>
      </x:c>
      <x:c r="N11" t="n">
        <x:f>COUNTIFS(Grunnspill!$A:$A,Annex!E11)</x:f>
        <x:v>0</x:v>
      </x:c>
      <x:c r="O11" t="n">
        <x:f>COUNTIFS(Grunnspill!$A:$A,Annex!F11)</x:f>
        <x:v>0</x:v>
      </x:c>
      <x:c r="P11" t="n">
        <x:f>COUNTIFS(Grunnspill!$A:$A,Annex!G11)</x:f>
        <x:v>0</x:v>
      </x:c>
      <x:c r="Q11" t="n">
        <x:f>COUNTIFS(Grunnspill!$A:$A,Annex!H11)</x:f>
        <x:v>0</x:v>
      </x:c>
      <x:c r="R11" t="n">
        <x:f>COUNTIFS(Grunnspill!$A:$A,Annex!I11)</x:f>
        <x:v>0</x:v>
      </x:c>
      <x:c r="T11" t="str">
        <x:v>Tsjekkia</x:v>
      </x:c>
      <x:c r="U11" t="str">
        <x:v>Sveits</x:v>
      </x:c>
      <x:c r="V11" t="str">
        <x:v>Tyrkia</x:v>
      </x:c>
      <x:c r="X11" t="str">
        <x:v>New Zealand</x:v>
      </x:c>
      <x:c r="Z11" t="str">
        <x:v>Colombia</x:v>
      </x:c>
      <x:c r="AA11" t="str">
        <x:v>Panama</x:v>
      </x:c>
    </x:row>
    <x:row r="12">
      <x:c r="A12">
        <x:v>9</x:v>
      </x:c>
      <x:c r="B12" s="1" t="s">
        <x:v>111</x:v>
      </x:c>
      <x:c r="C12" s="1" t="s">
        <x:v>116</x:v>
      </x:c>
      <x:c r="D12" s="1" t="s">
        <x:v>112</x:v>
      </x:c>
      <x:c r="E12" s="1" t="s">
        <x:v>120</x:v>
      </x:c>
      <x:c r="F12" s="1" t="s">
        <x:v>115</x:v>
      </x:c>
      <x:c r="G12" s="1" t="s">
        <x:v>114</x:v>
      </x:c>
      <x:c r="H12" s="1" t="s">
        <x:v>113</x:v>
      </x:c>
      <x:c r="I12" s="1" t="s">
        <x:v>118</x:v>
      </x:c>
      <x:c r="J12">
        <x:f t="shared" si="1"/>
        <x:v>0</x:v>
      </x:c>
      <x:c r="K12" t="n">
        <x:f>COUNTIFS(Grunnspill!$A:$A,Annex!B12)</x:f>
        <x:v>0</x:v>
      </x:c>
      <x:c r="L12" t="n">
        <x:f>COUNTIFS(Grunnspill!$A:$A,Annex!C12)</x:f>
        <x:v>0</x:v>
      </x:c>
      <x:c r="M12" t="n">
        <x:f>COUNTIFS(Grunnspill!$A:$A,Annex!D12)</x:f>
        <x:v>0</x:v>
      </x:c>
      <x:c r="N12" t="n">
        <x:f>COUNTIFS(Grunnspill!$A:$A,Annex!E12)</x:f>
        <x:v>0</x:v>
      </x:c>
      <x:c r="O12" t="n">
        <x:f>COUNTIFS(Grunnspill!$A:$A,Annex!F12)</x:f>
        <x:v>0</x:v>
      </x:c>
      <x:c r="P12" t="n">
        <x:f>COUNTIFS(Grunnspill!$A:$A,Annex!G12)</x:f>
        <x:v>0</x:v>
      </x:c>
      <x:c r="Q12" t="n">
        <x:f>COUNTIFS(Grunnspill!$A:$A,Annex!H12)</x:f>
        <x:v>0</x:v>
      </x:c>
      <x:c r="R12" t="n">
        <x:f>COUNTIFS(Grunnspill!$A:$A,Annex!I12)</x:f>
        <x:v>0</x:v>
      </x:c>
    </x:row>
    <x:row r="13">
      <x:c r="A13">
        <x:v>10</x:v>
      </x:c>
      <x:c r="B13" s="1" t="s">
        <x:v>115</x:v>
      </x:c>
      <x:c r="C13" s="1" t="s">
        <x:v>116</x:v>
      </x:c>
      <x:c r="D13" s="1" t="s">
        <x:v>113</x:v>
      </x:c>
      <x:c r="E13" s="1" t="s">
        <x:v>121</x:v>
      </x:c>
      <x:c r="F13" s="1" t="s">
        <x:v>112</x:v>
      </x:c>
      <x:c r="G13" s="1" t="s">
        <x:v>114</x:v>
      </x:c>
      <x:c r="H13" s="1" t="s">
        <x:v>117</x:v>
      </x:c>
      <x:c r="I13" s="1" t="s">
        <x:v>118</x:v>
      </x:c>
      <x:c r="J13">
        <x:f t="shared" si="1"/>
        <x:v>0</x:v>
      </x:c>
      <x:c r="K13" t="n">
        <x:f>COUNTIFS(Grunnspill!$A:$A,Annex!B13)</x:f>
        <x:v>0</x:v>
      </x:c>
      <x:c r="L13" t="n">
        <x:f>COUNTIFS(Grunnspill!$A:$A,Annex!C13)</x:f>
        <x:v>0</x:v>
      </x:c>
      <x:c r="M13" t="n">
        <x:f>COUNTIFS(Grunnspill!$A:$A,Annex!D13)</x:f>
        <x:v>0</x:v>
      </x:c>
      <x:c r="N13" t="n">
        <x:f>COUNTIFS(Grunnspill!$A:$A,Annex!E13)</x:f>
        <x:v>0</x:v>
      </x:c>
      <x:c r="O13" t="n">
        <x:f>COUNTIFS(Grunnspill!$A:$A,Annex!F13)</x:f>
        <x:v>0</x:v>
      </x:c>
      <x:c r="P13" t="n">
        <x:f>COUNTIFS(Grunnspill!$A:$A,Annex!G13)</x:f>
        <x:v>0</x:v>
      </x:c>
      <x:c r="Q13" t="n">
        <x:f>COUNTIFS(Grunnspill!$A:$A,Annex!H13)</x:f>
        <x:v>0</x:v>
      </x:c>
      <x:c r="R13" t="n">
        <x:f>COUNTIFS(Grunnspill!$A:$A,Annex!I13)</x:f>
        <x:v>0</x:v>
      </x:c>
      <x:c r="T13" t="s">
        <x:v>122</x:v>
      </x:c>
    </x:row>
    <x:row r="14">
      <x:c r="A14">
        <x:v>11</x:v>
      </x:c>
      <x:c r="B14" s="1" t="s">
        <x:v>111</x:v>
      </x:c>
      <x:c r="C14" s="1" t="s">
        <x:v>112</x:v>
      </x:c>
      <x:c r="D14" s="1" t="s">
        <x:v>113</x:v>
      </x:c>
      <x:c r="E14" s="1" t="s">
        <x:v>121</x:v>
      </x:c>
      <x:c r="F14" s="1" t="s">
        <x:v>115</x:v>
      </x:c>
      <x:c r="G14" s="1" t="s">
        <x:v>116</x:v>
      </x:c>
      <x:c r="H14" s="1" t="s">
        <x:v>117</x:v>
      </x:c>
      <x:c r="I14" s="1" t="s">
        <x:v>118</x:v>
      </x:c>
      <x:c r="J14">
        <x:f t="shared" si="1"/>
        <x:v>0</x:v>
      </x:c>
      <x:c r="K14" t="n">
        <x:f>COUNTIFS(Grunnspill!$A:$A,Annex!B14)</x:f>
        <x:v>0</x:v>
      </x:c>
      <x:c r="L14" t="n">
        <x:f>COUNTIFS(Grunnspill!$A:$A,Annex!C14)</x:f>
        <x:v>0</x:v>
      </x:c>
      <x:c r="M14" t="n">
        <x:f>COUNTIFS(Grunnspill!$A:$A,Annex!D14)</x:f>
        <x:v>0</x:v>
      </x:c>
      <x:c r="N14" t="n">
        <x:f>COUNTIFS(Grunnspill!$A:$A,Annex!E14)</x:f>
        <x:v>0</x:v>
      </x:c>
      <x:c r="O14" t="n">
        <x:f>COUNTIFS(Grunnspill!$A:$A,Annex!F14)</x:f>
        <x:v>0</x:v>
      </x:c>
      <x:c r="P14" t="n">
        <x:f>COUNTIFS(Grunnspill!$A:$A,Annex!G14)</x:f>
        <x:v>0</x:v>
      </x:c>
      <x:c r="Q14" t="n">
        <x:f>COUNTIFS(Grunnspill!$A:$A,Annex!H14)</x:f>
        <x:v>0</x:v>
      </x:c>
      <x:c r="R14" t="n">
        <x:f>COUNTIFS(Grunnspill!$A:$A,Annex!I14)</x:f>
        <x:v>0</x:v>
      </x:c>
      <x:c r="T14" t="s">
        <x:v>123</x:v>
      </x:c>
    </x:row>
    <x:row r="15">
      <x:c r="A15">
        <x:v>12</x:v>
      </x:c>
      <x:c r="B15" s="1" t="s">
        <x:v>111</x:v>
      </x:c>
      <x:c r="C15" s="1" t="s">
        <x:v>112</x:v>
      </x:c>
      <x:c r="D15" s="1" t="s">
        <x:v>113</x:v>
      </x:c>
      <x:c r="E15" s="1" t="s">
        <x:v>121</x:v>
      </x:c>
      <x:c r="F15" s="1" t="s">
        <x:v>115</x:v>
      </x:c>
      <x:c r="G15" s="1" t="s">
        <x:v>114</x:v>
      </x:c>
      <x:c r="H15" s="1" t="s">
        <x:v>117</x:v>
      </x:c>
      <x:c r="I15" s="1" t="s">
        <x:v>118</x:v>
      </x:c>
      <x:c r="J15">
        <x:f t="shared" si="1"/>
        <x:v>0</x:v>
      </x:c>
      <x:c r="K15" t="n">
        <x:f>COUNTIFS(Grunnspill!$A:$A,Annex!B15)</x:f>
        <x:v>0</x:v>
      </x:c>
      <x:c r="L15" t="n">
        <x:f>COUNTIFS(Grunnspill!$A:$A,Annex!C15)</x:f>
        <x:v>0</x:v>
      </x:c>
      <x:c r="M15" t="n">
        <x:f>COUNTIFS(Grunnspill!$A:$A,Annex!D15)</x:f>
        <x:v>0</x:v>
      </x:c>
      <x:c r="N15" t="n">
        <x:f>COUNTIFS(Grunnspill!$A:$A,Annex!E15)</x:f>
        <x:v>0</x:v>
      </x:c>
      <x:c r="O15" t="n">
        <x:f>COUNTIFS(Grunnspill!$A:$A,Annex!F15)</x:f>
        <x:v>0</x:v>
      </x:c>
      <x:c r="P15" t="n">
        <x:f>COUNTIFS(Grunnspill!$A:$A,Annex!G15)</x:f>
        <x:v>0</x:v>
      </x:c>
      <x:c r="Q15" t="n">
        <x:f>COUNTIFS(Grunnspill!$A:$A,Annex!H15)</x:f>
        <x:v>0</x:v>
      </x:c>
      <x:c r="R15" t="n">
        <x:f>COUNTIFS(Grunnspill!$A:$A,Annex!I15)</x:f>
        <x:v>0</x:v>
      </x:c>
    </x:row>
    <x:row r="16">
      <x:c r="A16">
        <x:v>13</x:v>
      </x:c>
      <x:c r="B16" s="1" t="s">
        <x:v>111</x:v>
      </x:c>
      <x:c r="C16" s="1" t="s">
        <x:v>116</x:v>
      </x:c>
      <x:c r="D16" s="1" t="s">
        <x:v>113</x:v>
      </x:c>
      <x:c r="E16" s="1" t="s">
        <x:v>121</x:v>
      </x:c>
      <x:c r="F16" s="1" t="s">
        <x:v>112</x:v>
      </x:c>
      <x:c r="G16" s="1" t="s">
        <x:v>114</x:v>
      </x:c>
      <x:c r="H16" s="1" t="s">
        <x:v>117</x:v>
      </x:c>
      <x:c r="I16" s="1" t="s">
        <x:v>118</x:v>
      </x:c>
      <x:c r="J16">
        <x:f t="shared" si="1"/>
        <x:v>0</x:v>
      </x:c>
      <x:c r="K16" t="n">
        <x:f>COUNTIFS(Grunnspill!$A:$A,Annex!B16)</x:f>
        <x:v>0</x:v>
      </x:c>
      <x:c r="L16" t="n">
        <x:f>COUNTIFS(Grunnspill!$A:$A,Annex!C16)</x:f>
        <x:v>0</x:v>
      </x:c>
      <x:c r="M16" t="n">
        <x:f>COUNTIFS(Grunnspill!$A:$A,Annex!D16)</x:f>
        <x:v>0</x:v>
      </x:c>
      <x:c r="N16" t="n">
        <x:f>COUNTIFS(Grunnspill!$A:$A,Annex!E16)</x:f>
        <x:v>0</x:v>
      </x:c>
      <x:c r="O16" t="n">
        <x:f>COUNTIFS(Grunnspill!$A:$A,Annex!F16)</x:f>
        <x:v>0</x:v>
      </x:c>
      <x:c r="P16" t="n">
        <x:f>COUNTIFS(Grunnspill!$A:$A,Annex!G16)</x:f>
        <x:v>0</x:v>
      </x:c>
      <x:c r="Q16" t="n">
        <x:f>COUNTIFS(Grunnspill!$A:$A,Annex!H16)</x:f>
        <x:v>0</x:v>
      </x:c>
      <x:c r="R16" t="n">
        <x:f>COUNTIFS(Grunnspill!$A:$A,Annex!I16)</x:f>
        <x:v>0</x:v>
      </x:c>
    </x:row>
    <x:row r="17">
      <x:c r="A17">
        <x:v>14</x:v>
      </x:c>
      <x:c r="B17" s="1" t="s">
        <x:v>111</x:v>
      </x:c>
      <x:c r="C17" s="1" t="s">
        <x:v>116</x:v>
      </x:c>
      <x:c r="D17" s="1" t="s">
        <x:v>112</x:v>
      </x:c>
      <x:c r="E17" s="1" t="s">
        <x:v>121</x:v>
      </x:c>
      <x:c r="F17" s="1" t="s">
        <x:v>115</x:v>
      </x:c>
      <x:c r="G17" s="1" t="s">
        <x:v>114</x:v>
      </x:c>
      <x:c r="H17" s="1" t="s">
        <x:v>117</x:v>
      </x:c>
      <x:c r="I17" s="1" t="s">
        <x:v>118</x:v>
      </x:c>
      <x:c r="J17">
        <x:f t="shared" si="1"/>
        <x:v>0</x:v>
      </x:c>
      <x:c r="K17" t="n">
        <x:f>COUNTIFS(Grunnspill!$A:$A,Annex!B17)</x:f>
        <x:v>0</x:v>
      </x:c>
      <x:c r="L17" t="n">
        <x:f>COUNTIFS(Grunnspill!$A:$A,Annex!C17)</x:f>
        <x:v>0</x:v>
      </x:c>
      <x:c r="M17" t="n">
        <x:f>COUNTIFS(Grunnspill!$A:$A,Annex!D17)</x:f>
        <x:v>0</x:v>
      </x:c>
      <x:c r="N17" t="n">
        <x:f>COUNTIFS(Grunnspill!$A:$A,Annex!E17)</x:f>
        <x:v>0</x:v>
      </x:c>
      <x:c r="O17" t="n">
        <x:f>COUNTIFS(Grunnspill!$A:$A,Annex!F17)</x:f>
        <x:v>0</x:v>
      </x:c>
      <x:c r="P17" t="n">
        <x:f>COUNTIFS(Grunnspill!$A:$A,Annex!G17)</x:f>
        <x:v>0</x:v>
      </x:c>
      <x:c r="Q17" t="n">
        <x:f>COUNTIFS(Grunnspill!$A:$A,Annex!H17)</x:f>
        <x:v>0</x:v>
      </x:c>
      <x:c r="R17" t="n">
        <x:f>COUNTIFS(Grunnspill!$A:$A,Annex!I17)</x:f>
        <x:v>0</x:v>
      </x:c>
    </x:row>
    <x:row r="18">
      <x:c r="A18">
        <x:v>15</x:v>
      </x:c>
      <x:c r="B18" s="1" t="s">
        <x:v>111</x:v>
      </x:c>
      <x:c r="C18" s="1" t="s">
        <x:v>116</x:v>
      </x:c>
      <x:c r="D18" s="1" t="s">
        <x:v>113</x:v>
      </x:c>
      <x:c r="E18" s="1" t="s">
        <x:v>121</x:v>
      </x:c>
      <x:c r="F18" s="1" t="s">
        <x:v>115</x:v>
      </x:c>
      <x:c r="G18" s="1" t="s">
        <x:v>114</x:v>
      </x:c>
      <x:c r="H18" s="1" t="s">
        <x:v>117</x:v>
      </x:c>
      <x:c r="I18" s="1" t="s">
        <x:v>118</x:v>
      </x:c>
      <x:c r="J18">
        <x:f t="shared" si="1"/>
        <x:v>0</x:v>
      </x:c>
      <x:c r="K18" t="n">
        <x:f>COUNTIFS(Grunnspill!$A:$A,Annex!B18)</x:f>
        <x:v>0</x:v>
      </x:c>
      <x:c r="L18" t="n">
        <x:f>COUNTIFS(Grunnspill!$A:$A,Annex!C18)</x:f>
        <x:v>0</x:v>
      </x:c>
      <x:c r="M18" t="n">
        <x:f>COUNTIFS(Grunnspill!$A:$A,Annex!D18)</x:f>
        <x:v>0</x:v>
      </x:c>
      <x:c r="N18" t="n">
        <x:f>COUNTIFS(Grunnspill!$A:$A,Annex!E18)</x:f>
        <x:v>0</x:v>
      </x:c>
      <x:c r="O18" t="n">
        <x:f>COUNTIFS(Grunnspill!$A:$A,Annex!F18)</x:f>
        <x:v>0</x:v>
      </x:c>
      <x:c r="P18" t="n">
        <x:f>COUNTIFS(Grunnspill!$A:$A,Annex!G18)</x:f>
        <x:v>0</x:v>
      </x:c>
      <x:c r="Q18" t="n">
        <x:f>COUNTIFS(Grunnspill!$A:$A,Annex!H18)</x:f>
        <x:v>0</x:v>
      </x:c>
      <x:c r="R18" t="n">
        <x:f>COUNTIFS(Grunnspill!$A:$A,Annex!I18)</x:f>
        <x:v>0</x:v>
      </x:c>
    </x:row>
    <x:row r="19">
      <x:c r="A19">
        <x:v>16</x:v>
      </x:c>
      <x:c r="B19" s="1" t="s">
        <x:v>111</x:v>
      </x:c>
      <x:c r="C19" s="1" t="s">
        <x:v>116</x:v>
      </x:c>
      <x:c r="D19" s="1" t="s">
        <x:v>112</x:v>
      </x:c>
      <x:c r="E19" s="1" t="s">
        <x:v>121</x:v>
      </x:c>
      <x:c r="F19" s="1" t="s">
        <x:v>115</x:v>
      </x:c>
      <x:c r="G19" s="1" t="s">
        <x:v>114</x:v>
      </x:c>
      <x:c r="H19" s="1" t="s">
        <x:v>117</x:v>
      </x:c>
      <x:c r="I19" s="1" t="s">
        <x:v>113</x:v>
      </x:c>
      <x:c r="J19">
        <x:f t="shared" si="1"/>
        <x:v>0</x:v>
      </x:c>
      <x:c r="K19" t="n">
        <x:f>COUNTIFS(Grunnspill!$A:$A,Annex!B19)</x:f>
        <x:v>0</x:v>
      </x:c>
      <x:c r="L19" t="n">
        <x:f>COUNTIFS(Grunnspill!$A:$A,Annex!C19)</x:f>
        <x:v>0</x:v>
      </x:c>
      <x:c r="M19" t="n">
        <x:f>COUNTIFS(Grunnspill!$A:$A,Annex!D19)</x:f>
        <x:v>0</x:v>
      </x:c>
      <x:c r="N19" t="n">
        <x:f>COUNTIFS(Grunnspill!$A:$A,Annex!E19)</x:f>
        <x:v>0</x:v>
      </x:c>
      <x:c r="O19" t="n">
        <x:f>COUNTIFS(Grunnspill!$A:$A,Annex!F19)</x:f>
        <x:v>0</x:v>
      </x:c>
      <x:c r="P19" t="n">
        <x:f>COUNTIFS(Grunnspill!$A:$A,Annex!G19)</x:f>
        <x:v>0</x:v>
      </x:c>
      <x:c r="Q19" t="n">
        <x:f>COUNTIFS(Grunnspill!$A:$A,Annex!H19)</x:f>
        <x:v>0</x:v>
      </x:c>
      <x:c r="R19" t="n">
        <x:f>COUNTIFS(Grunnspill!$A:$A,Annex!I19)</x:f>
        <x:v>0</x:v>
      </x:c>
    </x:row>
    <x:row r="20">
      <x:c r="A20">
        <x:v>17</x:v>
      </x:c>
      <x:c r="B20" s="1" t="s">
        <x:v>111</x:v>
      </x:c>
      <x:c r="C20" s="1" t="s">
        <x:v>116</x:v>
      </x:c>
      <x:c r="D20" s="1" t="s">
        <x:v>112</x:v>
      </x:c>
      <x:c r="E20" s="1" t="s">
        <x:v>121</x:v>
      </x:c>
      <x:c r="F20" s="1" t="s">
        <x:v>115</x:v>
      </x:c>
      <x:c r="G20" s="1" t="s">
        <x:v>114</x:v>
      </x:c>
      <x:c r="H20" s="1" t="s">
        <x:v>113</x:v>
      </x:c>
      <x:c r="I20" s="1" t="s">
        <x:v>118</x:v>
      </x:c>
      <x:c r="J20">
        <x:f t="shared" si="1"/>
        <x:v>0</x:v>
      </x:c>
      <x:c r="K20" t="n">
        <x:f>COUNTIFS(Grunnspill!$A:$A,Annex!B20)</x:f>
        <x:v>0</x:v>
      </x:c>
      <x:c r="L20" t="n">
        <x:f>COUNTIFS(Grunnspill!$A:$A,Annex!C20)</x:f>
        <x:v>0</x:v>
      </x:c>
      <x:c r="M20" t="n">
        <x:f>COUNTIFS(Grunnspill!$A:$A,Annex!D20)</x:f>
        <x:v>0</x:v>
      </x:c>
      <x:c r="N20" t="n">
        <x:f>COUNTIFS(Grunnspill!$A:$A,Annex!E20)</x:f>
        <x:v>0</x:v>
      </x:c>
      <x:c r="O20" t="n">
        <x:f>COUNTIFS(Grunnspill!$A:$A,Annex!F20)</x:f>
        <x:v>0</x:v>
      </x:c>
      <x:c r="P20" t="n">
        <x:f>COUNTIFS(Grunnspill!$A:$A,Annex!G20)</x:f>
        <x:v>0</x:v>
      </x:c>
      <x:c r="Q20" t="n">
        <x:f>COUNTIFS(Grunnspill!$A:$A,Annex!H20)</x:f>
        <x:v>0</x:v>
      </x:c>
      <x:c r="R20" t="n">
        <x:f>COUNTIFS(Grunnspill!$A:$A,Annex!I20)</x:f>
        <x:v>0</x:v>
      </x:c>
    </x:row>
    <x:row r="21">
      <x:c r="A21">
        <x:v>18</x:v>
      </x:c>
      <x:c r="B21" s="1" t="s">
        <x:v>115</x:v>
      </x:c>
      <x:c r="C21" s="1" t="s">
        <x:v>116</x:v>
      </x:c>
      <x:c r="D21" s="1" t="s">
        <x:v>113</x:v>
      </x:c>
      <x:c r="E21" s="1" t="s">
        <x:v>121</x:v>
      </x:c>
      <x:c r="F21" s="1" t="s">
        <x:v>112</x:v>
      </x:c>
      <x:c r="G21" s="1" t="s">
        <x:v>120</x:v>
      </x:c>
      <x:c r="H21" s="1" t="s">
        <x:v>117</x:v>
      </x:c>
      <x:c r="I21" s="1" t="s">
        <x:v>118</x:v>
      </x:c>
      <x:c r="J21">
        <x:f t="shared" si="1"/>
        <x:v>0</x:v>
      </x:c>
      <x:c r="K21" t="n">
        <x:f>COUNTIFS(Grunnspill!$A:$A,Annex!B21)</x:f>
        <x:v>0</x:v>
      </x:c>
      <x:c r="L21" t="n">
        <x:f>COUNTIFS(Grunnspill!$A:$A,Annex!C21)</x:f>
        <x:v>0</x:v>
      </x:c>
      <x:c r="M21" t="n">
        <x:f>COUNTIFS(Grunnspill!$A:$A,Annex!D21)</x:f>
        <x:v>0</x:v>
      </x:c>
      <x:c r="N21" t="n">
        <x:f>COUNTIFS(Grunnspill!$A:$A,Annex!E21)</x:f>
        <x:v>0</x:v>
      </x:c>
      <x:c r="O21" t="n">
        <x:f>COUNTIFS(Grunnspill!$A:$A,Annex!F21)</x:f>
        <x:v>0</x:v>
      </x:c>
      <x:c r="P21" t="n">
        <x:f>COUNTIFS(Grunnspill!$A:$A,Annex!G21)</x:f>
        <x:v>0</x:v>
      </x:c>
      <x:c r="Q21" t="n">
        <x:f>COUNTIFS(Grunnspill!$A:$A,Annex!H21)</x:f>
        <x:v>0</x:v>
      </x:c>
      <x:c r="R21" t="n">
        <x:f>COUNTIFS(Grunnspill!$A:$A,Annex!I21)</x:f>
        <x:v>0</x:v>
      </x:c>
    </x:row>
    <x:row r="22">
      <x:c r="A22">
        <x:v>19</x:v>
      </x:c>
      <x:c r="B22" s="1" t="s">
        <x:v>121</x:v>
      </x:c>
      <x:c r="C22" s="1" t="s">
        <x:v>112</x:v>
      </x:c>
      <x:c r="D22" s="1" t="s">
        <x:v>113</x:v>
      </x:c>
      <x:c r="E22" s="1" t="s">
        <x:v>120</x:v>
      </x:c>
      <x:c r="F22" s="1" t="s">
        <x:v>115</x:v>
      </x:c>
      <x:c r="G22" s="1" t="s">
        <x:v>114</x:v>
      </x:c>
      <x:c r="H22" s="1" t="s">
        <x:v>117</x:v>
      </x:c>
      <x:c r="I22" s="1" t="s">
        <x:v>118</x:v>
      </x:c>
      <x:c r="J22" t="n">
        <x:f t="shared" ref="J22:J85" si="2">SUM(K22:R22)</x:f>
        <x:v>0</x:v>
      </x:c>
      <x:c r="K22" t="n">
        <x:f>COUNTIFS(Grunnspill!$A:$A,Annex!B22)</x:f>
        <x:v>0</x:v>
      </x:c>
      <x:c r="L22" t="n">
        <x:f>COUNTIFS(Grunnspill!$A:$A,Annex!C22)</x:f>
        <x:v>0</x:v>
      </x:c>
      <x:c r="M22" t="n">
        <x:f>COUNTIFS(Grunnspill!$A:$A,Annex!D22)</x:f>
        <x:v>0</x:v>
      </x:c>
      <x:c r="N22" t="n">
        <x:f>COUNTIFS(Grunnspill!$A:$A,Annex!E22)</x:f>
        <x:v>0</x:v>
      </x:c>
      <x:c r="O22" t="n">
        <x:f>COUNTIFS(Grunnspill!$A:$A,Annex!F22)</x:f>
        <x:v>0</x:v>
      </x:c>
      <x:c r="P22" t="n">
        <x:f>COUNTIFS(Grunnspill!$A:$A,Annex!G22)</x:f>
        <x:v>0</x:v>
      </x:c>
      <x:c r="Q22" t="n">
        <x:f>COUNTIFS(Grunnspill!$A:$A,Annex!H22)</x:f>
        <x:v>0</x:v>
      </x:c>
      <x:c r="R22" t="n">
        <x:f>COUNTIFS(Grunnspill!$A:$A,Annex!I22)</x:f>
        <x:v>0</x:v>
      </x:c>
    </x:row>
    <x:row r="23">
      <x:c r="A23">
        <x:v>20</x:v>
      </x:c>
      <x:c r="B23" s="1" t="s">
        <x:v>121</x:v>
      </x:c>
      <x:c r="C23" s="1" t="s">
        <x:v>116</x:v>
      </x:c>
      <x:c r="D23" s="1" t="s">
        <x:v>113</x:v>
      </x:c>
      <x:c r="E23" s="1" t="s">
        <x:v>120</x:v>
      </x:c>
      <x:c r="F23" s="1" t="s">
        <x:v>112</x:v>
      </x:c>
      <x:c r="G23" s="1" t="s">
        <x:v>114</x:v>
      </x:c>
      <x:c r="H23" s="1" t="s">
        <x:v>117</x:v>
      </x:c>
      <x:c r="I23" s="1" t="s">
        <x:v>118</x:v>
      </x:c>
      <x:c r="J23">
        <x:f t="shared" si="2"/>
        <x:v>0</x:v>
      </x:c>
      <x:c r="K23" t="n">
        <x:f>COUNTIFS(Grunnspill!$A:$A,Annex!B23)</x:f>
        <x:v>0</x:v>
      </x:c>
      <x:c r="L23" t="n">
        <x:f>COUNTIFS(Grunnspill!$A:$A,Annex!C23)</x:f>
        <x:v>0</x:v>
      </x:c>
      <x:c r="M23" t="n">
        <x:f>COUNTIFS(Grunnspill!$A:$A,Annex!D23)</x:f>
        <x:v>0</x:v>
      </x:c>
      <x:c r="N23" t="n">
        <x:f>COUNTIFS(Grunnspill!$A:$A,Annex!E23)</x:f>
        <x:v>0</x:v>
      </x:c>
      <x:c r="O23" t="n">
        <x:f>COUNTIFS(Grunnspill!$A:$A,Annex!F23)</x:f>
        <x:v>0</x:v>
      </x:c>
      <x:c r="P23" t="n">
        <x:f>COUNTIFS(Grunnspill!$A:$A,Annex!G23)</x:f>
        <x:v>0</x:v>
      </x:c>
      <x:c r="Q23" t="n">
        <x:f>COUNTIFS(Grunnspill!$A:$A,Annex!H23)</x:f>
        <x:v>0</x:v>
      </x:c>
      <x:c r="R23" t="n">
        <x:f>COUNTIFS(Grunnspill!$A:$A,Annex!I23)</x:f>
        <x:v>0</x:v>
      </x:c>
    </x:row>
    <x:row r="24">
      <x:c r="A24">
        <x:v>21</x:v>
      </x:c>
      <x:c r="B24" s="1" t="s">
        <x:v>121</x:v>
      </x:c>
      <x:c r="C24" s="1" t="s">
        <x:v>116</x:v>
      </x:c>
      <x:c r="D24" s="1" t="s">
        <x:v>112</x:v>
      </x:c>
      <x:c r="E24" s="1" t="s">
        <x:v>120</x:v>
      </x:c>
      <x:c r="F24" s="1" t="s">
        <x:v>115</x:v>
      </x:c>
      <x:c r="G24" s="1" t="s">
        <x:v>114</x:v>
      </x:c>
      <x:c r="H24" s="1" t="s">
        <x:v>117</x:v>
      </x:c>
      <x:c r="I24" s="1" t="s">
        <x:v>118</x:v>
      </x:c>
      <x:c r="J24">
        <x:f t="shared" si="2"/>
        <x:v>0</x:v>
      </x:c>
      <x:c r="K24" t="n">
        <x:f>COUNTIFS(Grunnspill!$A:$A,Annex!B24)</x:f>
        <x:v>0</x:v>
      </x:c>
      <x:c r="L24" t="n">
        <x:f>COUNTIFS(Grunnspill!$A:$A,Annex!C24)</x:f>
        <x:v>0</x:v>
      </x:c>
      <x:c r="M24" t="n">
        <x:f>COUNTIFS(Grunnspill!$A:$A,Annex!D24)</x:f>
        <x:v>0</x:v>
      </x:c>
      <x:c r="N24" t="n">
        <x:f>COUNTIFS(Grunnspill!$A:$A,Annex!E24)</x:f>
        <x:v>0</x:v>
      </x:c>
      <x:c r="O24" t="n">
        <x:f>COUNTIFS(Grunnspill!$A:$A,Annex!F24)</x:f>
        <x:v>0</x:v>
      </x:c>
      <x:c r="P24" t="n">
        <x:f>COUNTIFS(Grunnspill!$A:$A,Annex!G24)</x:f>
        <x:v>0</x:v>
      </x:c>
      <x:c r="Q24" t="n">
        <x:f>COUNTIFS(Grunnspill!$A:$A,Annex!H24)</x:f>
        <x:v>0</x:v>
      </x:c>
      <x:c r="R24" t="n">
        <x:f>COUNTIFS(Grunnspill!$A:$A,Annex!I24)</x:f>
        <x:v>0</x:v>
      </x:c>
    </x:row>
    <x:row r="25">
      <x:c r="A25">
        <x:v>22</x:v>
      </x:c>
      <x:c r="B25" s="1" t="s">
        <x:v>121</x:v>
      </x:c>
      <x:c r="C25" s="1" t="s">
        <x:v>116</x:v>
      </x:c>
      <x:c r="D25" s="1" t="s">
        <x:v>113</x:v>
      </x:c>
      <x:c r="E25" s="1" t="s">
        <x:v>120</x:v>
      </x:c>
      <x:c r="F25" s="1" t="s">
        <x:v>115</x:v>
      </x:c>
      <x:c r="G25" s="1" t="s">
        <x:v>114</x:v>
      </x:c>
      <x:c r="H25" s="1" t="s">
        <x:v>117</x:v>
      </x:c>
      <x:c r="I25" s="1" t="s">
        <x:v>118</x:v>
      </x:c>
      <x:c r="J25">
        <x:f t="shared" si="2"/>
        <x:v>0</x:v>
      </x:c>
      <x:c r="K25" t="n">
        <x:f>COUNTIFS(Grunnspill!$A:$A,Annex!B25)</x:f>
        <x:v>0</x:v>
      </x:c>
      <x:c r="L25" t="n">
        <x:f>COUNTIFS(Grunnspill!$A:$A,Annex!C25)</x:f>
        <x:v>0</x:v>
      </x:c>
      <x:c r="M25" t="n">
        <x:f>COUNTIFS(Grunnspill!$A:$A,Annex!D25)</x:f>
        <x:v>0</x:v>
      </x:c>
      <x:c r="N25" t="n">
        <x:f>COUNTIFS(Grunnspill!$A:$A,Annex!E25)</x:f>
        <x:v>0</x:v>
      </x:c>
      <x:c r="O25" t="n">
        <x:f>COUNTIFS(Grunnspill!$A:$A,Annex!F25)</x:f>
        <x:v>0</x:v>
      </x:c>
      <x:c r="P25" t="n">
        <x:f>COUNTIFS(Grunnspill!$A:$A,Annex!G25)</x:f>
        <x:v>0</x:v>
      </x:c>
      <x:c r="Q25" t="n">
        <x:f>COUNTIFS(Grunnspill!$A:$A,Annex!H25)</x:f>
        <x:v>0</x:v>
      </x:c>
      <x:c r="R25" t="n">
        <x:f>COUNTIFS(Grunnspill!$A:$A,Annex!I25)</x:f>
        <x:v>0</x:v>
      </x:c>
    </x:row>
    <x:row r="26">
      <x:c r="A26">
        <x:v>23</x:v>
      </x:c>
      <x:c r="B26" s="1" t="s">
        <x:v>121</x:v>
      </x:c>
      <x:c r="C26" s="1" t="s">
        <x:v>116</x:v>
      </x:c>
      <x:c r="D26" s="1" t="s">
        <x:v>112</x:v>
      </x:c>
      <x:c r="E26" s="1" t="s">
        <x:v>120</x:v>
      </x:c>
      <x:c r="F26" s="1" t="s">
        <x:v>115</x:v>
      </x:c>
      <x:c r="G26" s="1" t="s">
        <x:v>114</x:v>
      </x:c>
      <x:c r="H26" s="1" t="s">
        <x:v>117</x:v>
      </x:c>
      <x:c r="I26" s="1" t="s">
        <x:v>113</x:v>
      </x:c>
      <x:c r="J26">
        <x:f t="shared" si="2"/>
        <x:v>0</x:v>
      </x:c>
      <x:c r="K26" t="n">
        <x:f>COUNTIFS(Grunnspill!$A:$A,Annex!B26)</x:f>
        <x:v>0</x:v>
      </x:c>
      <x:c r="L26" t="n">
        <x:f>COUNTIFS(Grunnspill!$A:$A,Annex!C26)</x:f>
        <x:v>0</x:v>
      </x:c>
      <x:c r="M26" t="n">
        <x:f>COUNTIFS(Grunnspill!$A:$A,Annex!D26)</x:f>
        <x:v>0</x:v>
      </x:c>
      <x:c r="N26" t="n">
        <x:f>COUNTIFS(Grunnspill!$A:$A,Annex!E26)</x:f>
        <x:v>0</x:v>
      </x:c>
      <x:c r="O26" t="n">
        <x:f>COUNTIFS(Grunnspill!$A:$A,Annex!F26)</x:f>
        <x:v>0</x:v>
      </x:c>
      <x:c r="P26" t="n">
        <x:f>COUNTIFS(Grunnspill!$A:$A,Annex!G26)</x:f>
        <x:v>0</x:v>
      </x:c>
      <x:c r="Q26" t="n">
        <x:f>COUNTIFS(Grunnspill!$A:$A,Annex!H26)</x:f>
        <x:v>0</x:v>
      </x:c>
      <x:c r="R26" t="n">
        <x:f>COUNTIFS(Grunnspill!$A:$A,Annex!I26)</x:f>
        <x:v>0</x:v>
      </x:c>
    </x:row>
    <x:row r="27">
      <x:c r="A27">
        <x:v>24</x:v>
      </x:c>
      <x:c r="B27" s="1" t="s">
        <x:v>121</x:v>
      </x:c>
      <x:c r="C27" s="1" t="s">
        <x:v>116</x:v>
      </x:c>
      <x:c r="D27" s="1" t="s">
        <x:v>112</x:v>
      </x:c>
      <x:c r="E27" s="1" t="s">
        <x:v>120</x:v>
      </x:c>
      <x:c r="F27" s="1" t="s">
        <x:v>115</x:v>
      </x:c>
      <x:c r="G27" s="1" t="s">
        <x:v>114</x:v>
      </x:c>
      <x:c r="H27" s="1" t="s">
        <x:v>113</x:v>
      </x:c>
      <x:c r="I27" s="1" t="s">
        <x:v>118</x:v>
      </x:c>
      <x:c r="J27">
        <x:f t="shared" si="2"/>
        <x:v>0</x:v>
      </x:c>
      <x:c r="K27" t="n">
        <x:f>COUNTIFS(Grunnspill!$A:$A,Annex!B27)</x:f>
        <x:v>0</x:v>
      </x:c>
      <x:c r="L27" t="n">
        <x:f>COUNTIFS(Grunnspill!$A:$A,Annex!C27)</x:f>
        <x:v>0</x:v>
      </x:c>
      <x:c r="M27" t="n">
        <x:f>COUNTIFS(Grunnspill!$A:$A,Annex!D27)</x:f>
        <x:v>0</x:v>
      </x:c>
      <x:c r="N27" t="n">
        <x:f>COUNTIFS(Grunnspill!$A:$A,Annex!E27)</x:f>
        <x:v>0</x:v>
      </x:c>
      <x:c r="O27" t="n">
        <x:f>COUNTIFS(Grunnspill!$A:$A,Annex!F27)</x:f>
        <x:v>0</x:v>
      </x:c>
      <x:c r="P27" t="n">
        <x:f>COUNTIFS(Grunnspill!$A:$A,Annex!G27)</x:f>
        <x:v>0</x:v>
      </x:c>
      <x:c r="Q27" t="n">
        <x:f>COUNTIFS(Grunnspill!$A:$A,Annex!H27)</x:f>
        <x:v>0</x:v>
      </x:c>
      <x:c r="R27" t="n">
        <x:f>COUNTIFS(Grunnspill!$A:$A,Annex!I27)</x:f>
        <x:v>0</x:v>
      </x:c>
    </x:row>
    <x:row r="28">
      <x:c r="A28">
        <x:v>25</x:v>
      </x:c>
      <x:c r="B28" s="1" t="s">
        <x:v>111</x:v>
      </x:c>
      <x:c r="C28" s="1" t="s">
        <x:v>112</x:v>
      </x:c>
      <x:c r="D28" s="1" t="s">
        <x:v>113</x:v>
      </x:c>
      <x:c r="E28" s="1" t="s">
        <x:v>121</x:v>
      </x:c>
      <x:c r="F28" s="1" t="s">
        <x:v>115</x:v>
      </x:c>
      <x:c r="G28" s="1" t="s">
        <x:v>120</x:v>
      </x:c>
      <x:c r="H28" s="1" t="s">
        <x:v>117</x:v>
      </x:c>
      <x:c r="I28" s="1" t="s">
        <x:v>118</x:v>
      </x:c>
      <x:c r="J28">
        <x:f t="shared" si="2"/>
        <x:v>0</x:v>
      </x:c>
      <x:c r="K28" t="n">
        <x:f>COUNTIFS(Grunnspill!$A:$A,Annex!B28)</x:f>
        <x:v>0</x:v>
      </x:c>
      <x:c r="L28" t="n">
        <x:f>COUNTIFS(Grunnspill!$A:$A,Annex!C28)</x:f>
        <x:v>0</x:v>
      </x:c>
      <x:c r="M28" t="n">
        <x:f>COUNTIFS(Grunnspill!$A:$A,Annex!D28)</x:f>
        <x:v>0</x:v>
      </x:c>
      <x:c r="N28" t="n">
        <x:f>COUNTIFS(Grunnspill!$A:$A,Annex!E28)</x:f>
        <x:v>0</x:v>
      </x:c>
      <x:c r="O28" t="n">
        <x:f>COUNTIFS(Grunnspill!$A:$A,Annex!F28)</x:f>
        <x:v>0</x:v>
      </x:c>
      <x:c r="P28" t="n">
        <x:f>COUNTIFS(Grunnspill!$A:$A,Annex!G28)</x:f>
        <x:v>0</x:v>
      </x:c>
      <x:c r="Q28" t="n">
        <x:f>COUNTIFS(Grunnspill!$A:$A,Annex!H28)</x:f>
        <x:v>0</x:v>
      </x:c>
      <x:c r="R28" t="n">
        <x:f>COUNTIFS(Grunnspill!$A:$A,Annex!I28)</x:f>
        <x:v>0</x:v>
      </x:c>
    </x:row>
    <x:row r="29">
      <x:c r="A29">
        <x:v>26</x:v>
      </x:c>
      <x:c r="B29" s="1" t="s">
        <x:v>111</x:v>
      </x:c>
      <x:c r="C29" s="1" t="s">
        <x:v>116</x:v>
      </x:c>
      <x:c r="D29" s="1" t="s">
        <x:v>113</x:v>
      </x:c>
      <x:c r="E29" s="1" t="s">
        <x:v>121</x:v>
      </x:c>
      <x:c r="F29" s="1" t="s">
        <x:v>112</x:v>
      </x:c>
      <x:c r="G29" s="1" t="s">
        <x:v>120</x:v>
      </x:c>
      <x:c r="H29" s="1" t="s">
        <x:v>117</x:v>
      </x:c>
      <x:c r="I29" s="1" t="s">
        <x:v>118</x:v>
      </x:c>
      <x:c r="J29">
        <x:f t="shared" si="2"/>
        <x:v>0</x:v>
      </x:c>
      <x:c r="K29" t="n">
        <x:f>COUNTIFS(Grunnspill!$A:$A,Annex!B29)</x:f>
        <x:v>0</x:v>
      </x:c>
      <x:c r="L29" t="n">
        <x:f>COUNTIFS(Grunnspill!$A:$A,Annex!C29)</x:f>
        <x:v>0</x:v>
      </x:c>
      <x:c r="M29" t="n">
        <x:f>COUNTIFS(Grunnspill!$A:$A,Annex!D29)</x:f>
        <x:v>0</x:v>
      </x:c>
      <x:c r="N29" t="n">
        <x:f>COUNTIFS(Grunnspill!$A:$A,Annex!E29)</x:f>
        <x:v>0</x:v>
      </x:c>
      <x:c r="O29" t="n">
        <x:f>COUNTIFS(Grunnspill!$A:$A,Annex!F29)</x:f>
        <x:v>0</x:v>
      </x:c>
      <x:c r="P29" t="n">
        <x:f>COUNTIFS(Grunnspill!$A:$A,Annex!G29)</x:f>
        <x:v>0</x:v>
      </x:c>
      <x:c r="Q29" t="n">
        <x:f>COUNTIFS(Grunnspill!$A:$A,Annex!H29)</x:f>
        <x:v>0</x:v>
      </x:c>
      <x:c r="R29" t="n">
        <x:f>COUNTIFS(Grunnspill!$A:$A,Annex!I29)</x:f>
        <x:v>0</x:v>
      </x:c>
    </x:row>
    <x:row r="30">
      <x:c r="A30">
        <x:v>27</x:v>
      </x:c>
      <x:c r="B30" s="1" t="s">
        <x:v>111</x:v>
      </x:c>
      <x:c r="C30" s="1" t="s">
        <x:v>116</x:v>
      </x:c>
      <x:c r="D30" s="1" t="s">
        <x:v>112</x:v>
      </x:c>
      <x:c r="E30" s="1" t="s">
        <x:v>121</x:v>
      </x:c>
      <x:c r="F30" s="1" t="s">
        <x:v>115</x:v>
      </x:c>
      <x:c r="G30" s="1" t="s">
        <x:v>120</x:v>
      </x:c>
      <x:c r="H30" s="1" t="s">
        <x:v>117</x:v>
      </x:c>
      <x:c r="I30" s="1" t="s">
        <x:v>118</x:v>
      </x:c>
      <x:c r="J30">
        <x:f t="shared" si="2"/>
        <x:v>0</x:v>
      </x:c>
      <x:c r="K30" t="n">
        <x:f>COUNTIFS(Grunnspill!$A:$A,Annex!B30)</x:f>
        <x:v>0</x:v>
      </x:c>
      <x:c r="L30" t="n">
        <x:f>COUNTIFS(Grunnspill!$A:$A,Annex!C30)</x:f>
        <x:v>0</x:v>
      </x:c>
      <x:c r="M30" t="n">
        <x:f>COUNTIFS(Grunnspill!$A:$A,Annex!D30)</x:f>
        <x:v>0</x:v>
      </x:c>
      <x:c r="N30" t="n">
        <x:f>COUNTIFS(Grunnspill!$A:$A,Annex!E30)</x:f>
        <x:v>0</x:v>
      </x:c>
      <x:c r="O30" t="n">
        <x:f>COUNTIFS(Grunnspill!$A:$A,Annex!F30)</x:f>
        <x:v>0</x:v>
      </x:c>
      <x:c r="P30" t="n">
        <x:f>COUNTIFS(Grunnspill!$A:$A,Annex!G30)</x:f>
        <x:v>0</x:v>
      </x:c>
      <x:c r="Q30" t="n">
        <x:f>COUNTIFS(Grunnspill!$A:$A,Annex!H30)</x:f>
        <x:v>0</x:v>
      </x:c>
      <x:c r="R30" t="n">
        <x:f>COUNTIFS(Grunnspill!$A:$A,Annex!I30)</x:f>
        <x:v>0</x:v>
      </x:c>
    </x:row>
    <x:row r="31">
      <x:c r="A31">
        <x:v>28</x:v>
      </x:c>
      <x:c r="B31" s="1" t="s">
        <x:v>111</x:v>
      </x:c>
      <x:c r="C31" s="1" t="s">
        <x:v>116</x:v>
      </x:c>
      <x:c r="D31" s="1" t="s">
        <x:v>113</x:v>
      </x:c>
      <x:c r="E31" s="1" t="s">
        <x:v>121</x:v>
      </x:c>
      <x:c r="F31" s="1" t="s">
        <x:v>115</x:v>
      </x:c>
      <x:c r="G31" s="1" t="s">
        <x:v>120</x:v>
      </x:c>
      <x:c r="H31" s="1" t="s">
        <x:v>117</x:v>
      </x:c>
      <x:c r="I31" s="1" t="s">
        <x:v>118</x:v>
      </x:c>
      <x:c r="J31">
        <x:f t="shared" si="2"/>
        <x:v>0</x:v>
      </x:c>
      <x:c r="K31" t="n">
        <x:f>COUNTIFS(Grunnspill!$A:$A,Annex!B31)</x:f>
        <x:v>0</x:v>
      </x:c>
      <x:c r="L31" t="n">
        <x:f>COUNTIFS(Grunnspill!$A:$A,Annex!C31)</x:f>
        <x:v>0</x:v>
      </x:c>
      <x:c r="M31" t="n">
        <x:f>COUNTIFS(Grunnspill!$A:$A,Annex!D31)</x:f>
        <x:v>0</x:v>
      </x:c>
      <x:c r="N31" t="n">
        <x:f>COUNTIFS(Grunnspill!$A:$A,Annex!E31)</x:f>
        <x:v>0</x:v>
      </x:c>
      <x:c r="O31" t="n">
        <x:f>COUNTIFS(Grunnspill!$A:$A,Annex!F31)</x:f>
        <x:v>0</x:v>
      </x:c>
      <x:c r="P31" t="n">
        <x:f>COUNTIFS(Grunnspill!$A:$A,Annex!G31)</x:f>
        <x:v>0</x:v>
      </x:c>
      <x:c r="Q31" t="n">
        <x:f>COUNTIFS(Grunnspill!$A:$A,Annex!H31)</x:f>
        <x:v>0</x:v>
      </x:c>
      <x:c r="R31" t="n">
        <x:f>COUNTIFS(Grunnspill!$A:$A,Annex!I31)</x:f>
        <x:v>0</x:v>
      </x:c>
    </x:row>
    <x:row r="32">
      <x:c r="A32">
        <x:v>29</x:v>
      </x:c>
      <x:c r="B32" s="1" t="s">
        <x:v>111</x:v>
      </x:c>
      <x:c r="C32" s="1" t="s">
        <x:v>116</x:v>
      </x:c>
      <x:c r="D32" s="1" t="s">
        <x:v>112</x:v>
      </x:c>
      <x:c r="E32" s="1" t="s">
        <x:v>121</x:v>
      </x:c>
      <x:c r="F32" s="1" t="s">
        <x:v>115</x:v>
      </x:c>
      <x:c r="G32" s="1" t="s">
        <x:v>120</x:v>
      </x:c>
      <x:c r="H32" s="1" t="s">
        <x:v>117</x:v>
      </x:c>
      <x:c r="I32" s="1" t="s">
        <x:v>113</x:v>
      </x:c>
      <x:c r="J32">
        <x:f t="shared" si="2"/>
        <x:v>0</x:v>
      </x:c>
      <x:c r="K32" t="n">
        <x:f>COUNTIFS(Grunnspill!$A:$A,Annex!B32)</x:f>
        <x:v>0</x:v>
      </x:c>
      <x:c r="L32" t="n">
        <x:f>COUNTIFS(Grunnspill!$A:$A,Annex!C32)</x:f>
        <x:v>0</x:v>
      </x:c>
      <x:c r="M32" t="n">
        <x:f>COUNTIFS(Grunnspill!$A:$A,Annex!D32)</x:f>
        <x:v>0</x:v>
      </x:c>
      <x:c r="N32" t="n">
        <x:f>COUNTIFS(Grunnspill!$A:$A,Annex!E32)</x:f>
        <x:v>0</x:v>
      </x:c>
      <x:c r="O32" t="n">
        <x:f>COUNTIFS(Grunnspill!$A:$A,Annex!F32)</x:f>
        <x:v>0</x:v>
      </x:c>
      <x:c r="P32" t="n">
        <x:f>COUNTIFS(Grunnspill!$A:$A,Annex!G32)</x:f>
        <x:v>0</x:v>
      </x:c>
      <x:c r="Q32" t="n">
        <x:f>COUNTIFS(Grunnspill!$A:$A,Annex!H32)</x:f>
        <x:v>0</x:v>
      </x:c>
      <x:c r="R32" t="n">
        <x:f>COUNTIFS(Grunnspill!$A:$A,Annex!I32)</x:f>
        <x:v>0</x:v>
      </x:c>
    </x:row>
    <x:row r="33">
      <x:c r="A33">
        <x:v>30</x:v>
      </x:c>
      <x:c r="B33" s="1" t="s">
        <x:v>111</x:v>
      </x:c>
      <x:c r="C33" s="1" t="s">
        <x:v>116</x:v>
      </x:c>
      <x:c r="D33" s="1" t="s">
        <x:v>112</x:v>
      </x:c>
      <x:c r="E33" s="1" t="s">
        <x:v>121</x:v>
      </x:c>
      <x:c r="F33" s="1" t="s">
        <x:v>115</x:v>
      </x:c>
      <x:c r="G33" s="1" t="s">
        <x:v>120</x:v>
      </x:c>
      <x:c r="H33" s="1" t="s">
        <x:v>113</x:v>
      </x:c>
      <x:c r="I33" s="1" t="s">
        <x:v>118</x:v>
      </x:c>
      <x:c r="J33">
        <x:f t="shared" si="2"/>
        <x:v>0</x:v>
      </x:c>
      <x:c r="K33" t="n">
        <x:f>COUNTIFS(Grunnspill!$A:$A,Annex!B33)</x:f>
        <x:v>0</x:v>
      </x:c>
      <x:c r="L33" t="n">
        <x:f>COUNTIFS(Grunnspill!$A:$A,Annex!C33)</x:f>
        <x:v>0</x:v>
      </x:c>
      <x:c r="M33" t="n">
        <x:f>COUNTIFS(Grunnspill!$A:$A,Annex!D33)</x:f>
        <x:v>0</x:v>
      </x:c>
      <x:c r="N33" t="n">
        <x:f>COUNTIFS(Grunnspill!$A:$A,Annex!E33)</x:f>
        <x:v>0</x:v>
      </x:c>
      <x:c r="O33" t="n">
        <x:f>COUNTIFS(Grunnspill!$A:$A,Annex!F33)</x:f>
        <x:v>0</x:v>
      </x:c>
      <x:c r="P33" t="n">
        <x:f>COUNTIFS(Grunnspill!$A:$A,Annex!G33)</x:f>
        <x:v>0</x:v>
      </x:c>
      <x:c r="Q33" t="n">
        <x:f>COUNTIFS(Grunnspill!$A:$A,Annex!H33)</x:f>
        <x:v>0</x:v>
      </x:c>
      <x:c r="R33" t="n">
        <x:f>COUNTIFS(Grunnspill!$A:$A,Annex!I33)</x:f>
        <x:v>0</x:v>
      </x:c>
    </x:row>
    <x:row r="34">
      <x:c r="A34">
        <x:v>31</x:v>
      </x:c>
      <x:c r="B34" s="1" t="s">
        <x:v>121</x:v>
      </x:c>
      <x:c r="C34" s="1" t="s">
        <x:v>112</x:v>
      </x:c>
      <x:c r="D34" s="1" t="s">
        <x:v>111</x:v>
      </x:c>
      <x:c r="E34" s="1" t="s">
        <x:v>120</x:v>
      </x:c>
      <x:c r="F34" s="1" t="s">
        <x:v>113</x:v>
      </x:c>
      <x:c r="G34" s="1" t="s">
        <x:v>114</x:v>
      </x:c>
      <x:c r="H34" s="1" t="s">
        <x:v>117</x:v>
      </x:c>
      <x:c r="I34" s="1" t="s">
        <x:v>118</x:v>
      </x:c>
      <x:c r="J34">
        <x:f t="shared" si="2"/>
        <x:v>0</x:v>
      </x:c>
      <x:c r="K34" t="n">
        <x:f>COUNTIFS(Grunnspill!$A:$A,Annex!B34)</x:f>
        <x:v>0</x:v>
      </x:c>
      <x:c r="L34" t="n">
        <x:f>COUNTIFS(Grunnspill!$A:$A,Annex!C34)</x:f>
        <x:v>0</x:v>
      </x:c>
      <x:c r="M34" t="n">
        <x:f>COUNTIFS(Grunnspill!$A:$A,Annex!D34)</x:f>
        <x:v>0</x:v>
      </x:c>
      <x:c r="N34" t="n">
        <x:f>COUNTIFS(Grunnspill!$A:$A,Annex!E34)</x:f>
        <x:v>0</x:v>
      </x:c>
      <x:c r="O34" t="n">
        <x:f>COUNTIFS(Grunnspill!$A:$A,Annex!F34)</x:f>
        <x:v>0</x:v>
      </x:c>
      <x:c r="P34" t="n">
        <x:f>COUNTIFS(Grunnspill!$A:$A,Annex!G34)</x:f>
        <x:v>0</x:v>
      </x:c>
      <x:c r="Q34" t="n">
        <x:f>COUNTIFS(Grunnspill!$A:$A,Annex!H34)</x:f>
        <x:v>0</x:v>
      </x:c>
      <x:c r="R34" t="n">
        <x:f>COUNTIFS(Grunnspill!$A:$A,Annex!I34)</x:f>
        <x:v>0</x:v>
      </x:c>
    </x:row>
    <x:row r="35">
      <x:c r="A35">
        <x:v>32</x:v>
      </x:c>
      <x:c r="B35" s="1" t="s">
        <x:v>121</x:v>
      </x:c>
      <x:c r="C35" s="1" t="s">
        <x:v>112</x:v>
      </x:c>
      <x:c r="D35" s="1" t="s">
        <x:v>111</x:v>
      </x:c>
      <x:c r="E35" s="1" t="s">
        <x:v>120</x:v>
      </x:c>
      <x:c r="F35" s="1" t="s">
        <x:v>115</x:v>
      </x:c>
      <x:c r="G35" s="1" t="s">
        <x:v>114</x:v>
      </x:c>
      <x:c r="H35" s="1" t="s">
        <x:v>117</x:v>
      </x:c>
      <x:c r="I35" s="1" t="s">
        <x:v>118</x:v>
      </x:c>
      <x:c r="J35">
        <x:f t="shared" si="2"/>
        <x:v>0</x:v>
      </x:c>
      <x:c r="K35" t="n">
        <x:f>COUNTIFS(Grunnspill!$A:$A,Annex!B35)</x:f>
        <x:v>0</x:v>
      </x:c>
      <x:c r="L35" t="n">
        <x:f>COUNTIFS(Grunnspill!$A:$A,Annex!C35)</x:f>
        <x:v>0</x:v>
      </x:c>
      <x:c r="M35" t="n">
        <x:f>COUNTIFS(Grunnspill!$A:$A,Annex!D35)</x:f>
        <x:v>0</x:v>
      </x:c>
      <x:c r="N35" t="n">
        <x:f>COUNTIFS(Grunnspill!$A:$A,Annex!E35)</x:f>
        <x:v>0</x:v>
      </x:c>
      <x:c r="O35" t="n">
        <x:f>COUNTIFS(Grunnspill!$A:$A,Annex!F35)</x:f>
        <x:v>0</x:v>
      </x:c>
      <x:c r="P35" t="n">
        <x:f>COUNTIFS(Grunnspill!$A:$A,Annex!G35)</x:f>
        <x:v>0</x:v>
      </x:c>
      <x:c r="Q35" t="n">
        <x:f>COUNTIFS(Grunnspill!$A:$A,Annex!H35)</x:f>
        <x:v>0</x:v>
      </x:c>
      <x:c r="R35" t="n">
        <x:f>COUNTIFS(Grunnspill!$A:$A,Annex!I35)</x:f>
        <x:v>0</x:v>
      </x:c>
    </x:row>
    <x:row r="36">
      <x:c r="A36">
        <x:v>33</x:v>
      </x:c>
      <x:c r="B36" s="1" t="s">
        <x:v>121</x:v>
      </x:c>
      <x:c r="C36" s="1" t="s">
        <x:v>111</x:v>
      </x:c>
      <x:c r="D36" s="1" t="s">
        <x:v>113</x:v>
      </x:c>
      <x:c r="E36" s="1" t="s">
        <x:v>120</x:v>
      </x:c>
      <x:c r="F36" s="1" t="s">
        <x:v>115</x:v>
      </x:c>
      <x:c r="G36" s="1" t="s">
        <x:v>114</x:v>
      </x:c>
      <x:c r="H36" s="1" t="s">
        <x:v>117</x:v>
      </x:c>
      <x:c r="I36" s="1" t="s">
        <x:v>118</x:v>
      </x:c>
      <x:c r="J36">
        <x:f t="shared" si="2"/>
        <x:v>0</x:v>
      </x:c>
      <x:c r="K36" t="n">
        <x:f>COUNTIFS(Grunnspill!$A:$A,Annex!B36)</x:f>
        <x:v>0</x:v>
      </x:c>
      <x:c r="L36" t="n">
        <x:f>COUNTIFS(Grunnspill!$A:$A,Annex!C36)</x:f>
        <x:v>0</x:v>
      </x:c>
      <x:c r="M36" t="n">
        <x:f>COUNTIFS(Grunnspill!$A:$A,Annex!D36)</x:f>
        <x:v>0</x:v>
      </x:c>
      <x:c r="N36" t="n">
        <x:f>COUNTIFS(Grunnspill!$A:$A,Annex!E36)</x:f>
        <x:v>0</x:v>
      </x:c>
      <x:c r="O36" t="n">
        <x:f>COUNTIFS(Grunnspill!$A:$A,Annex!F36)</x:f>
        <x:v>0</x:v>
      </x:c>
      <x:c r="P36" t="n">
        <x:f>COUNTIFS(Grunnspill!$A:$A,Annex!G36)</x:f>
        <x:v>0</x:v>
      </x:c>
      <x:c r="Q36" t="n">
        <x:f>COUNTIFS(Grunnspill!$A:$A,Annex!H36)</x:f>
        <x:v>0</x:v>
      </x:c>
      <x:c r="R36" t="n">
        <x:f>COUNTIFS(Grunnspill!$A:$A,Annex!I36)</x:f>
        <x:v>0</x:v>
      </x:c>
    </x:row>
    <x:row r="37">
      <x:c r="A37">
        <x:v>34</x:v>
      </x:c>
      <x:c r="B37" s="1" t="s">
        <x:v>121</x:v>
      </x:c>
      <x:c r="C37" s="1" t="s">
        <x:v>112</x:v>
      </x:c>
      <x:c r="D37" s="1" t="s">
        <x:v>111</x:v>
      </x:c>
      <x:c r="E37" s="1" t="s">
        <x:v>120</x:v>
      </x:c>
      <x:c r="F37" s="1" t="s">
        <x:v>115</x:v>
      </x:c>
      <x:c r="G37" s="1" t="s">
        <x:v>114</x:v>
      </x:c>
      <x:c r="H37" s="1" t="s">
        <x:v>117</x:v>
      </x:c>
      <x:c r="I37" s="1" t="s">
        <x:v>113</x:v>
      </x:c>
      <x:c r="J37">
        <x:f t="shared" si="2"/>
        <x:v>0</x:v>
      </x:c>
      <x:c r="K37" t="n">
        <x:f>COUNTIFS(Grunnspill!$A:$A,Annex!B37)</x:f>
        <x:v>0</x:v>
      </x:c>
      <x:c r="L37" t="n">
        <x:f>COUNTIFS(Grunnspill!$A:$A,Annex!C37)</x:f>
        <x:v>0</x:v>
      </x:c>
      <x:c r="M37" t="n">
        <x:f>COUNTIFS(Grunnspill!$A:$A,Annex!D37)</x:f>
        <x:v>0</x:v>
      </x:c>
      <x:c r="N37" t="n">
        <x:f>COUNTIFS(Grunnspill!$A:$A,Annex!E37)</x:f>
        <x:v>0</x:v>
      </x:c>
      <x:c r="O37" t="n">
        <x:f>COUNTIFS(Grunnspill!$A:$A,Annex!F37)</x:f>
        <x:v>0</x:v>
      </x:c>
      <x:c r="P37" t="n">
        <x:f>COUNTIFS(Grunnspill!$A:$A,Annex!G37)</x:f>
        <x:v>0</x:v>
      </x:c>
      <x:c r="Q37" t="n">
        <x:f>COUNTIFS(Grunnspill!$A:$A,Annex!H37)</x:f>
        <x:v>0</x:v>
      </x:c>
      <x:c r="R37" t="n">
        <x:f>COUNTIFS(Grunnspill!$A:$A,Annex!I37)</x:f>
        <x:v>0</x:v>
      </x:c>
    </x:row>
    <x:row r="38">
      <x:c r="A38">
        <x:v>35</x:v>
      </x:c>
      <x:c r="B38" s="1" t="s">
        <x:v>121</x:v>
      </x:c>
      <x:c r="C38" s="1" t="s">
        <x:v>112</x:v>
      </x:c>
      <x:c r="D38" s="1" t="s">
        <x:v>111</x:v>
      </x:c>
      <x:c r="E38" s="1" t="s">
        <x:v>120</x:v>
      </x:c>
      <x:c r="F38" s="1" t="s">
        <x:v>115</x:v>
      </x:c>
      <x:c r="G38" s="1" t="s">
        <x:v>114</x:v>
      </x:c>
      <x:c r="H38" s="1" t="s">
        <x:v>113</x:v>
      </x:c>
      <x:c r="I38" s="1" t="s">
        <x:v>118</x:v>
      </x:c>
      <x:c r="J38">
        <x:f t="shared" si="2"/>
        <x:v>0</x:v>
      </x:c>
      <x:c r="K38" t="n">
        <x:f>COUNTIFS(Grunnspill!$A:$A,Annex!B38)</x:f>
        <x:v>0</x:v>
      </x:c>
      <x:c r="L38" t="n">
        <x:f>COUNTIFS(Grunnspill!$A:$A,Annex!C38)</x:f>
        <x:v>0</x:v>
      </x:c>
      <x:c r="M38" t="n">
        <x:f>COUNTIFS(Grunnspill!$A:$A,Annex!D38)</x:f>
        <x:v>0</x:v>
      </x:c>
      <x:c r="N38" t="n">
        <x:f>COUNTIFS(Grunnspill!$A:$A,Annex!E38)</x:f>
        <x:v>0</x:v>
      </x:c>
      <x:c r="O38" t="n">
        <x:f>COUNTIFS(Grunnspill!$A:$A,Annex!F38)</x:f>
        <x:v>0</x:v>
      </x:c>
      <x:c r="P38" t="n">
        <x:f>COUNTIFS(Grunnspill!$A:$A,Annex!G38)</x:f>
        <x:v>0</x:v>
      </x:c>
      <x:c r="Q38" t="n">
        <x:f>COUNTIFS(Grunnspill!$A:$A,Annex!H38)</x:f>
        <x:v>0</x:v>
      </x:c>
      <x:c r="R38" t="n">
        <x:f>COUNTIFS(Grunnspill!$A:$A,Annex!I38)</x:f>
        <x:v>0</x:v>
      </x:c>
    </x:row>
    <x:row r="39">
      <x:c r="A39">
        <x:v>36</x:v>
      </x:c>
      <x:c r="B39" s="1" t="s">
        <x:v>121</x:v>
      </x:c>
      <x:c r="C39" s="1" t="s">
        <x:v>116</x:v>
      </x:c>
      <x:c r="D39" s="1" t="s">
        <x:v>111</x:v>
      </x:c>
      <x:c r="E39" s="1" t="s">
        <x:v>120</x:v>
      </x:c>
      <x:c r="F39" s="1" t="s">
        <x:v>112</x:v>
      </x:c>
      <x:c r="G39" s="1" t="s">
        <x:v>114</x:v>
      </x:c>
      <x:c r="H39" s="1" t="s">
        <x:v>117</x:v>
      </x:c>
      <x:c r="I39" s="1" t="s">
        <x:v>118</x:v>
      </x:c>
      <x:c r="J39">
        <x:f t="shared" si="2"/>
        <x:v>0</x:v>
      </x:c>
      <x:c r="K39" t="n">
        <x:f>COUNTIFS(Grunnspill!$A:$A,Annex!B39)</x:f>
        <x:v>0</x:v>
      </x:c>
      <x:c r="L39" t="n">
        <x:f>COUNTIFS(Grunnspill!$A:$A,Annex!C39)</x:f>
        <x:v>0</x:v>
      </x:c>
      <x:c r="M39" t="n">
        <x:f>COUNTIFS(Grunnspill!$A:$A,Annex!D39)</x:f>
        <x:v>0</x:v>
      </x:c>
      <x:c r="N39" t="n">
        <x:f>COUNTIFS(Grunnspill!$A:$A,Annex!E39)</x:f>
        <x:v>0</x:v>
      </x:c>
      <x:c r="O39" t="n">
        <x:f>COUNTIFS(Grunnspill!$A:$A,Annex!F39)</x:f>
        <x:v>0</x:v>
      </x:c>
      <x:c r="P39" t="n">
        <x:f>COUNTIFS(Grunnspill!$A:$A,Annex!G39)</x:f>
        <x:v>0</x:v>
      </x:c>
      <x:c r="Q39" t="n">
        <x:f>COUNTIFS(Grunnspill!$A:$A,Annex!H39)</x:f>
        <x:v>0</x:v>
      </x:c>
      <x:c r="R39" t="n">
        <x:f>COUNTIFS(Grunnspill!$A:$A,Annex!I39)</x:f>
        <x:v>0</x:v>
      </x:c>
    </x:row>
    <x:row r="40">
      <x:c r="A40">
        <x:v>37</x:v>
      </x:c>
      <x:c r="B40" s="1" t="s">
        <x:v>121</x:v>
      </x:c>
      <x:c r="C40" s="1" t="s">
        <x:v>116</x:v>
      </x:c>
      <x:c r="D40" s="1" t="s">
        <x:v>111</x:v>
      </x:c>
      <x:c r="E40" s="1" t="s">
        <x:v>120</x:v>
      </x:c>
      <x:c r="F40" s="1" t="s">
        <x:v>113</x:v>
      </x:c>
      <x:c r="G40" s="1" t="s">
        <x:v>114</x:v>
      </x:c>
      <x:c r="H40" s="1" t="s">
        <x:v>117</x:v>
      </x:c>
      <x:c r="I40" s="1" t="s">
        <x:v>118</x:v>
      </x:c>
      <x:c r="J40">
        <x:f t="shared" si="2"/>
        <x:v>0</x:v>
      </x:c>
      <x:c r="K40" t="n">
        <x:f>COUNTIFS(Grunnspill!$A:$A,Annex!B40)</x:f>
        <x:v>0</x:v>
      </x:c>
      <x:c r="L40" t="n">
        <x:f>COUNTIFS(Grunnspill!$A:$A,Annex!C40)</x:f>
        <x:v>0</x:v>
      </x:c>
      <x:c r="M40" t="n">
        <x:f>COUNTIFS(Grunnspill!$A:$A,Annex!D40)</x:f>
        <x:v>0</x:v>
      </x:c>
      <x:c r="N40" t="n">
        <x:f>COUNTIFS(Grunnspill!$A:$A,Annex!E40)</x:f>
        <x:v>0</x:v>
      </x:c>
      <x:c r="O40" t="n">
        <x:f>COUNTIFS(Grunnspill!$A:$A,Annex!F40)</x:f>
        <x:v>0</x:v>
      </x:c>
      <x:c r="P40" t="n">
        <x:f>COUNTIFS(Grunnspill!$A:$A,Annex!G40)</x:f>
        <x:v>0</x:v>
      </x:c>
      <x:c r="Q40" t="n">
        <x:f>COUNTIFS(Grunnspill!$A:$A,Annex!H40)</x:f>
        <x:v>0</x:v>
      </x:c>
      <x:c r="R40" t="n">
        <x:f>COUNTIFS(Grunnspill!$A:$A,Annex!I40)</x:f>
        <x:v>0</x:v>
      </x:c>
    </x:row>
    <x:row r="41">
      <x:c r="A41">
        <x:v>38</x:v>
      </x:c>
      <x:c r="B41" s="1" t="s">
        <x:v>121</x:v>
      </x:c>
      <x:c r="C41" s="1" t="s">
        <x:v>116</x:v>
      </x:c>
      <x:c r="D41" s="1" t="s">
        <x:v>111</x:v>
      </x:c>
      <x:c r="E41" s="1" t="s">
        <x:v>120</x:v>
      </x:c>
      <x:c r="F41" s="1" t="s">
        <x:v>112</x:v>
      </x:c>
      <x:c r="G41" s="1" t="s">
        <x:v>114</x:v>
      </x:c>
      <x:c r="H41" s="1" t="s">
        <x:v>117</x:v>
      </x:c>
      <x:c r="I41" s="1" t="s">
        <x:v>113</x:v>
      </x:c>
      <x:c r="J41">
        <x:f t="shared" si="2"/>
        <x:v>0</x:v>
      </x:c>
      <x:c r="K41" t="n">
        <x:f>COUNTIFS(Grunnspill!$A:$A,Annex!B41)</x:f>
        <x:v>0</x:v>
      </x:c>
      <x:c r="L41" t="n">
        <x:f>COUNTIFS(Grunnspill!$A:$A,Annex!C41)</x:f>
        <x:v>0</x:v>
      </x:c>
      <x:c r="M41" t="n">
        <x:f>COUNTIFS(Grunnspill!$A:$A,Annex!D41)</x:f>
        <x:v>0</x:v>
      </x:c>
      <x:c r="N41" t="n">
        <x:f>COUNTIFS(Grunnspill!$A:$A,Annex!E41)</x:f>
        <x:v>0</x:v>
      </x:c>
      <x:c r="O41" t="n">
        <x:f>COUNTIFS(Grunnspill!$A:$A,Annex!F41)</x:f>
        <x:v>0</x:v>
      </x:c>
      <x:c r="P41" t="n">
        <x:f>COUNTIFS(Grunnspill!$A:$A,Annex!G41)</x:f>
        <x:v>0</x:v>
      </x:c>
      <x:c r="Q41" t="n">
        <x:f>COUNTIFS(Grunnspill!$A:$A,Annex!H41)</x:f>
        <x:v>0</x:v>
      </x:c>
      <x:c r="R41" t="n">
        <x:f>COUNTIFS(Grunnspill!$A:$A,Annex!I41)</x:f>
        <x:v>0</x:v>
      </x:c>
    </x:row>
    <x:row r="42">
      <x:c r="A42">
        <x:v>39</x:v>
      </x:c>
      <x:c r="B42" s="1" t="s">
        <x:v>121</x:v>
      </x:c>
      <x:c r="C42" s="1" t="s">
        <x:v>116</x:v>
      </x:c>
      <x:c r="D42" s="1" t="s">
        <x:v>111</x:v>
      </x:c>
      <x:c r="E42" s="1" t="s">
        <x:v>120</x:v>
      </x:c>
      <x:c r="F42" s="1" t="s">
        <x:v>112</x:v>
      </x:c>
      <x:c r="G42" s="1" t="s">
        <x:v>114</x:v>
      </x:c>
      <x:c r="H42" s="1" t="s">
        <x:v>113</x:v>
      </x:c>
      <x:c r="I42" s="1" t="s">
        <x:v>118</x:v>
      </x:c>
      <x:c r="J42">
        <x:f t="shared" si="2"/>
        <x:v>0</x:v>
      </x:c>
      <x:c r="K42" t="n">
        <x:f>COUNTIFS(Grunnspill!$A:$A,Annex!B42)</x:f>
        <x:v>0</x:v>
      </x:c>
      <x:c r="L42" t="n">
        <x:f>COUNTIFS(Grunnspill!$A:$A,Annex!C42)</x:f>
        <x:v>0</x:v>
      </x:c>
      <x:c r="M42" t="n">
        <x:f>COUNTIFS(Grunnspill!$A:$A,Annex!D42)</x:f>
        <x:v>0</x:v>
      </x:c>
      <x:c r="N42" t="n">
        <x:f>COUNTIFS(Grunnspill!$A:$A,Annex!E42)</x:f>
        <x:v>0</x:v>
      </x:c>
      <x:c r="O42" t="n">
        <x:f>COUNTIFS(Grunnspill!$A:$A,Annex!F42)</x:f>
        <x:v>0</x:v>
      </x:c>
      <x:c r="P42" t="n">
        <x:f>COUNTIFS(Grunnspill!$A:$A,Annex!G42)</x:f>
        <x:v>0</x:v>
      </x:c>
      <x:c r="Q42" t="n">
        <x:f>COUNTIFS(Grunnspill!$A:$A,Annex!H42)</x:f>
        <x:v>0</x:v>
      </x:c>
      <x:c r="R42" t="n">
        <x:f>COUNTIFS(Grunnspill!$A:$A,Annex!I42)</x:f>
        <x:v>0</x:v>
      </x:c>
    </x:row>
    <x:row r="43">
      <x:c r="A43">
        <x:v>40</x:v>
      </x:c>
      <x:c r="B43" s="1" t="s">
        <x:v>121</x:v>
      </x:c>
      <x:c r="C43" s="1" t="s">
        <x:v>116</x:v>
      </x:c>
      <x:c r="D43" s="1" t="s">
        <x:v>111</x:v>
      </x:c>
      <x:c r="E43" s="1" t="s">
        <x:v>120</x:v>
      </x:c>
      <x:c r="F43" s="1" t="s">
        <x:v>115</x:v>
      </x:c>
      <x:c r="G43" s="1" t="s">
        <x:v>114</x:v>
      </x:c>
      <x:c r="H43" s="1" t="s">
        <x:v>117</x:v>
      </x:c>
      <x:c r="I43" s="1" t="s">
        <x:v>118</x:v>
      </x:c>
      <x:c r="J43">
        <x:f t="shared" si="2"/>
        <x:v>0</x:v>
      </x:c>
      <x:c r="K43" t="n">
        <x:f>COUNTIFS(Grunnspill!$A:$A,Annex!B43)</x:f>
        <x:v>0</x:v>
      </x:c>
      <x:c r="L43" t="n">
        <x:f>COUNTIFS(Grunnspill!$A:$A,Annex!C43)</x:f>
        <x:v>0</x:v>
      </x:c>
      <x:c r="M43" t="n">
        <x:f>COUNTIFS(Grunnspill!$A:$A,Annex!D43)</x:f>
        <x:v>0</x:v>
      </x:c>
      <x:c r="N43" t="n">
        <x:f>COUNTIFS(Grunnspill!$A:$A,Annex!E43)</x:f>
        <x:v>0</x:v>
      </x:c>
      <x:c r="O43" t="n">
        <x:f>COUNTIFS(Grunnspill!$A:$A,Annex!F43)</x:f>
        <x:v>0</x:v>
      </x:c>
      <x:c r="P43" t="n">
        <x:f>COUNTIFS(Grunnspill!$A:$A,Annex!G43)</x:f>
        <x:v>0</x:v>
      </x:c>
      <x:c r="Q43" t="n">
        <x:f>COUNTIFS(Grunnspill!$A:$A,Annex!H43)</x:f>
        <x:v>0</x:v>
      </x:c>
      <x:c r="R43" t="n">
        <x:f>COUNTIFS(Grunnspill!$A:$A,Annex!I43)</x:f>
        <x:v>0</x:v>
      </x:c>
    </x:row>
    <x:row r="44">
      <x:c r="A44">
        <x:v>41</x:v>
      </x:c>
      <x:c r="B44" s="1" t="s">
        <x:v>121</x:v>
      </x:c>
      <x:c r="C44" s="1" t="s">
        <x:v>116</x:v>
      </x:c>
      <x:c r="D44" s="1" t="s">
        <x:v>112</x:v>
      </x:c>
      <x:c r="E44" s="1" t="s">
        <x:v>120</x:v>
      </x:c>
      <x:c r="F44" s="1" t="s">
        <x:v>115</x:v>
      </x:c>
      <x:c r="G44" s="1" t="s">
        <x:v>114</x:v>
      </x:c>
      <x:c r="H44" s="1" t="s">
        <x:v>117</x:v>
      </x:c>
      <x:c r="I44" s="1" t="s">
        <x:v>111</x:v>
      </x:c>
      <x:c r="J44">
        <x:f t="shared" si="2"/>
        <x:v>0</x:v>
      </x:c>
      <x:c r="K44" t="n">
        <x:f>COUNTIFS(Grunnspill!$A:$A,Annex!B44)</x:f>
        <x:v>0</x:v>
      </x:c>
      <x:c r="L44" t="n">
        <x:f>COUNTIFS(Grunnspill!$A:$A,Annex!C44)</x:f>
        <x:v>0</x:v>
      </x:c>
      <x:c r="M44" t="n">
        <x:f>COUNTIFS(Grunnspill!$A:$A,Annex!D44)</x:f>
        <x:v>0</x:v>
      </x:c>
      <x:c r="N44" t="n">
        <x:f>COUNTIFS(Grunnspill!$A:$A,Annex!E44)</x:f>
        <x:v>0</x:v>
      </x:c>
      <x:c r="O44" t="n">
        <x:f>COUNTIFS(Grunnspill!$A:$A,Annex!F44)</x:f>
        <x:v>0</x:v>
      </x:c>
      <x:c r="P44" t="n">
        <x:f>COUNTIFS(Grunnspill!$A:$A,Annex!G44)</x:f>
        <x:v>0</x:v>
      </x:c>
      <x:c r="Q44" t="n">
        <x:f>COUNTIFS(Grunnspill!$A:$A,Annex!H44)</x:f>
        <x:v>0</x:v>
      </x:c>
      <x:c r="R44" t="n">
        <x:f>COUNTIFS(Grunnspill!$A:$A,Annex!I44)</x:f>
        <x:v>0</x:v>
      </x:c>
    </x:row>
    <x:row r="45">
      <x:c r="A45">
        <x:v>42</x:v>
      </x:c>
      <x:c r="B45" s="1" t="s">
        <x:v>121</x:v>
      </x:c>
      <x:c r="C45" s="1" t="s">
        <x:v>116</x:v>
      </x:c>
      <x:c r="D45" s="1" t="s">
        <x:v>112</x:v>
      </x:c>
      <x:c r="E45" s="1" t="s">
        <x:v>120</x:v>
      </x:c>
      <x:c r="F45" s="1" t="s">
        <x:v>115</x:v>
      </x:c>
      <x:c r="G45" s="1" t="s">
        <x:v>114</x:v>
      </x:c>
      <x:c r="H45" s="1" t="s">
        <x:v>111</x:v>
      </x:c>
      <x:c r="I45" s="1" t="s">
        <x:v>118</x:v>
      </x:c>
      <x:c r="J45">
        <x:f t="shared" si="2"/>
        <x:v>0</x:v>
      </x:c>
      <x:c r="K45" t="n">
        <x:f>COUNTIFS(Grunnspill!$A:$A,Annex!B45)</x:f>
        <x:v>0</x:v>
      </x:c>
      <x:c r="L45" t="n">
        <x:f>COUNTIFS(Grunnspill!$A:$A,Annex!C45)</x:f>
        <x:v>0</x:v>
      </x:c>
      <x:c r="M45" t="n">
        <x:f>COUNTIFS(Grunnspill!$A:$A,Annex!D45)</x:f>
        <x:v>0</x:v>
      </x:c>
      <x:c r="N45" t="n">
        <x:f>COUNTIFS(Grunnspill!$A:$A,Annex!E45)</x:f>
        <x:v>0</x:v>
      </x:c>
      <x:c r="O45" t="n">
        <x:f>COUNTIFS(Grunnspill!$A:$A,Annex!F45)</x:f>
        <x:v>0</x:v>
      </x:c>
      <x:c r="P45" t="n">
        <x:f>COUNTIFS(Grunnspill!$A:$A,Annex!G45)</x:f>
        <x:v>0</x:v>
      </x:c>
      <x:c r="Q45" t="n">
        <x:f>COUNTIFS(Grunnspill!$A:$A,Annex!H45)</x:f>
        <x:v>0</x:v>
      </x:c>
      <x:c r="R45" t="n">
        <x:f>COUNTIFS(Grunnspill!$A:$A,Annex!I45)</x:f>
        <x:v>0</x:v>
      </x:c>
    </x:row>
    <x:row r="46">
      <x:c r="A46">
        <x:v>43</x:v>
      </x:c>
      <x:c r="B46" s="1" t="s">
        <x:v>121</x:v>
      </x:c>
      <x:c r="C46" s="1" t="s">
        <x:v>116</x:v>
      </x:c>
      <x:c r="D46" s="1" t="s">
        <x:v>111</x:v>
      </x:c>
      <x:c r="E46" s="1" t="s">
        <x:v>120</x:v>
      </x:c>
      <x:c r="F46" s="1" t="s">
        <x:v>115</x:v>
      </x:c>
      <x:c r="G46" s="1" t="s">
        <x:v>114</x:v>
      </x:c>
      <x:c r="H46" s="1" t="s">
        <x:v>117</x:v>
      </x:c>
      <x:c r="I46" s="1" t="s">
        <x:v>113</x:v>
      </x:c>
      <x:c r="J46">
        <x:f t="shared" si="2"/>
        <x:v>0</x:v>
      </x:c>
      <x:c r="K46" t="n">
        <x:f>COUNTIFS(Grunnspill!$A:$A,Annex!B46)</x:f>
        <x:v>0</x:v>
      </x:c>
      <x:c r="L46" t="n">
        <x:f>COUNTIFS(Grunnspill!$A:$A,Annex!C46)</x:f>
        <x:v>0</x:v>
      </x:c>
      <x:c r="M46" t="n">
        <x:f>COUNTIFS(Grunnspill!$A:$A,Annex!D46)</x:f>
        <x:v>0</x:v>
      </x:c>
      <x:c r="N46" t="n">
        <x:f>COUNTIFS(Grunnspill!$A:$A,Annex!E46)</x:f>
        <x:v>0</x:v>
      </x:c>
      <x:c r="O46" t="n">
        <x:f>COUNTIFS(Grunnspill!$A:$A,Annex!F46)</x:f>
        <x:v>0</x:v>
      </x:c>
      <x:c r="P46" t="n">
        <x:f>COUNTIFS(Grunnspill!$A:$A,Annex!G46)</x:f>
        <x:v>0</x:v>
      </x:c>
      <x:c r="Q46" t="n">
        <x:f>COUNTIFS(Grunnspill!$A:$A,Annex!H46)</x:f>
        <x:v>0</x:v>
      </x:c>
      <x:c r="R46" t="n">
        <x:f>COUNTIFS(Grunnspill!$A:$A,Annex!I46)</x:f>
        <x:v>0</x:v>
      </x:c>
    </x:row>
    <x:row r="47">
      <x:c r="A47">
        <x:v>44</x:v>
      </x:c>
      <x:c r="B47" s="1" t="s">
        <x:v>121</x:v>
      </x:c>
      <x:c r="C47" s="1" t="s">
        <x:v>116</x:v>
      </x:c>
      <x:c r="D47" s="1" t="s">
        <x:v>111</x:v>
      </x:c>
      <x:c r="E47" s="1" t="s">
        <x:v>120</x:v>
      </x:c>
      <x:c r="F47" s="1" t="s">
        <x:v>115</x:v>
      </x:c>
      <x:c r="G47" s="1" t="s">
        <x:v>114</x:v>
      </x:c>
      <x:c r="H47" s="1" t="s">
        <x:v>113</x:v>
      </x:c>
      <x:c r="I47" s="1" t="s">
        <x:v>118</x:v>
      </x:c>
      <x:c r="J47">
        <x:f t="shared" si="2"/>
        <x:v>0</x:v>
      </x:c>
      <x:c r="K47" t="n">
        <x:f>COUNTIFS(Grunnspill!$A:$A,Annex!B47)</x:f>
        <x:v>0</x:v>
      </x:c>
      <x:c r="L47" t="n">
        <x:f>COUNTIFS(Grunnspill!$A:$A,Annex!C47)</x:f>
        <x:v>0</x:v>
      </x:c>
      <x:c r="M47" t="n">
        <x:f>COUNTIFS(Grunnspill!$A:$A,Annex!D47)</x:f>
        <x:v>0</x:v>
      </x:c>
      <x:c r="N47" t="n">
        <x:f>COUNTIFS(Grunnspill!$A:$A,Annex!E47)</x:f>
        <x:v>0</x:v>
      </x:c>
      <x:c r="O47" t="n">
        <x:f>COUNTIFS(Grunnspill!$A:$A,Annex!F47)</x:f>
        <x:v>0</x:v>
      </x:c>
      <x:c r="P47" t="n">
        <x:f>COUNTIFS(Grunnspill!$A:$A,Annex!G47)</x:f>
        <x:v>0</x:v>
      </x:c>
      <x:c r="Q47" t="n">
        <x:f>COUNTIFS(Grunnspill!$A:$A,Annex!H47)</x:f>
        <x:v>0</x:v>
      </x:c>
      <x:c r="R47" t="n">
        <x:f>COUNTIFS(Grunnspill!$A:$A,Annex!I47)</x:f>
        <x:v>0</x:v>
      </x:c>
    </x:row>
    <x:row r="48">
      <x:c r="A48">
        <x:v>45</x:v>
      </x:c>
      <x:c r="B48" s="1" t="s">
        <x:v>121</x:v>
      </x:c>
      <x:c r="C48" s="1" t="s">
        <x:v>116</x:v>
      </x:c>
      <x:c r="D48" s="1" t="s">
        <x:v>112</x:v>
      </x:c>
      <x:c r="E48" s="1" t="s">
        <x:v>120</x:v>
      </x:c>
      <x:c r="F48" s="1" t="s">
        <x:v>115</x:v>
      </x:c>
      <x:c r="G48" s="1" t="s">
        <x:v>114</x:v>
      </x:c>
      <x:c r="H48" s="1" t="s">
        <x:v>111</x:v>
      </x:c>
      <x:c r="I48" s="1" t="s">
        <x:v>113</x:v>
      </x:c>
      <x:c r="J48">
        <x:f t="shared" si="2"/>
        <x:v>0</x:v>
      </x:c>
      <x:c r="K48" t="n">
        <x:f>COUNTIFS(Grunnspill!$A:$A,Annex!B48)</x:f>
        <x:v>0</x:v>
      </x:c>
      <x:c r="L48" t="n">
        <x:f>COUNTIFS(Grunnspill!$A:$A,Annex!C48)</x:f>
        <x:v>0</x:v>
      </x:c>
      <x:c r="M48" t="n">
        <x:f>COUNTIFS(Grunnspill!$A:$A,Annex!D48)</x:f>
        <x:v>0</x:v>
      </x:c>
      <x:c r="N48" t="n">
        <x:f>COUNTIFS(Grunnspill!$A:$A,Annex!E48)</x:f>
        <x:v>0</x:v>
      </x:c>
      <x:c r="O48" t="n">
        <x:f>COUNTIFS(Grunnspill!$A:$A,Annex!F48)</x:f>
        <x:v>0</x:v>
      </x:c>
      <x:c r="P48" t="n">
        <x:f>COUNTIFS(Grunnspill!$A:$A,Annex!G48)</x:f>
        <x:v>0</x:v>
      </x:c>
      <x:c r="Q48" t="n">
        <x:f>COUNTIFS(Grunnspill!$A:$A,Annex!H48)</x:f>
        <x:v>0</x:v>
      </x:c>
      <x:c r="R48" t="n">
        <x:f>COUNTIFS(Grunnspill!$A:$A,Annex!I48)</x:f>
        <x:v>0</x:v>
      </x:c>
    </x:row>
    <x:row r="49">
      <x:c r="A49">
        <x:v>46</x:v>
      </x:c>
      <x:c r="B49" s="1" t="s">
        <x:v>115</x:v>
      </x:c>
      <x:c r="C49" s="1" t="s">
        <x:v>112</x:v>
      </x:c>
      <x:c r="D49" s="1" t="s">
        <x:v>124</x:v>
      </x:c>
      <x:c r="E49" s="1" t="s">
        <x:v>114</x:v>
      </x:c>
      <x:c r="F49" s="1" t="s">
        <x:v>113</x:v>
      </x:c>
      <x:c r="G49" s="1" t="s">
        <x:v>116</x:v>
      </x:c>
      <x:c r="H49" s="1" t="s">
        <x:v>117</x:v>
      </x:c>
      <x:c r="I49" s="1" t="s">
        <x:v>118</x:v>
      </x:c>
      <x:c r="J49">
        <x:f t="shared" si="2"/>
        <x:v>0</x:v>
      </x:c>
      <x:c r="K49" t="n">
        <x:f>COUNTIFS(Grunnspill!$A:$A,Annex!B49)</x:f>
        <x:v>0</x:v>
      </x:c>
      <x:c r="L49" t="n">
        <x:f>COUNTIFS(Grunnspill!$A:$A,Annex!C49)</x:f>
        <x:v>0</x:v>
      </x:c>
      <x:c r="M49" t="n">
        <x:f>COUNTIFS(Grunnspill!$A:$A,Annex!D49)</x:f>
        <x:v>0</x:v>
      </x:c>
      <x:c r="N49" t="n">
        <x:f>COUNTIFS(Grunnspill!$A:$A,Annex!E49)</x:f>
        <x:v>0</x:v>
      </x:c>
      <x:c r="O49" t="n">
        <x:f>COUNTIFS(Grunnspill!$A:$A,Annex!F49)</x:f>
        <x:v>0</x:v>
      </x:c>
      <x:c r="P49" t="n">
        <x:f>COUNTIFS(Grunnspill!$A:$A,Annex!G49)</x:f>
        <x:v>0</x:v>
      </x:c>
      <x:c r="Q49" t="n">
        <x:f>COUNTIFS(Grunnspill!$A:$A,Annex!H49)</x:f>
        <x:v>0</x:v>
      </x:c>
      <x:c r="R49" t="n">
        <x:f>COUNTIFS(Grunnspill!$A:$A,Annex!I49)</x:f>
        <x:v>0</x:v>
      </x:c>
    </x:row>
    <x:row r="50">
      <x:c r="A50">
        <x:v>47</x:v>
      </x:c>
      <x:c r="B50" s="1" t="s">
        <x:v>111</x:v>
      </x:c>
      <x:c r="C50" s="1" t="s">
        <x:v>112</x:v>
      </x:c>
      <x:c r="D50" s="1" t="s">
        <x:v>113</x:v>
      </x:c>
      <x:c r="E50" s="1" t="s">
        <x:v>124</x:v>
      </x:c>
      <x:c r="F50" s="1" t="s">
        <x:v>115</x:v>
      </x:c>
      <x:c r="G50" s="1" t="s">
        <x:v>116</x:v>
      </x:c>
      <x:c r="H50" s="1" t="s">
        <x:v>117</x:v>
      </x:c>
      <x:c r="I50" s="1" t="s">
        <x:v>118</x:v>
      </x:c>
      <x:c r="J50">
        <x:f t="shared" si="2"/>
        <x:v>0</x:v>
      </x:c>
      <x:c r="K50" t="n">
        <x:f>COUNTIFS(Grunnspill!$A:$A,Annex!B50)</x:f>
        <x:v>0</x:v>
      </x:c>
      <x:c r="L50" t="n">
        <x:f>COUNTIFS(Grunnspill!$A:$A,Annex!C50)</x:f>
        <x:v>0</x:v>
      </x:c>
      <x:c r="M50" t="n">
        <x:f>COUNTIFS(Grunnspill!$A:$A,Annex!D50)</x:f>
        <x:v>0</x:v>
      </x:c>
      <x:c r="N50" t="n">
        <x:f>COUNTIFS(Grunnspill!$A:$A,Annex!E50)</x:f>
        <x:v>0</x:v>
      </x:c>
      <x:c r="O50" t="n">
        <x:f>COUNTIFS(Grunnspill!$A:$A,Annex!F50)</x:f>
        <x:v>0</x:v>
      </x:c>
      <x:c r="P50" t="n">
        <x:f>COUNTIFS(Grunnspill!$A:$A,Annex!G50)</x:f>
        <x:v>0</x:v>
      </x:c>
      <x:c r="Q50" t="n">
        <x:f>COUNTIFS(Grunnspill!$A:$A,Annex!H50)</x:f>
        <x:v>0</x:v>
      </x:c>
      <x:c r="R50" t="n">
        <x:f>COUNTIFS(Grunnspill!$A:$A,Annex!I50)</x:f>
        <x:v>0</x:v>
      </x:c>
    </x:row>
    <x:row r="51">
      <x:c r="A51">
        <x:v>48</x:v>
      </x:c>
      <x:c r="B51" s="1" t="s">
        <x:v>111</x:v>
      </x:c>
      <x:c r="C51" s="1" t="s">
        <x:v>112</x:v>
      </x:c>
      <x:c r="D51" s="1" t="s">
        <x:v>124</x:v>
      </x:c>
      <x:c r="E51" s="1" t="s">
        <x:v>114</x:v>
      </x:c>
      <x:c r="F51" s="1" t="s">
        <x:v>113</x:v>
      </x:c>
      <x:c r="G51" s="1" t="s">
        <x:v>115</x:v>
      </x:c>
      <x:c r="H51" s="1" t="s">
        <x:v>117</x:v>
      </x:c>
      <x:c r="I51" s="1" t="s">
        <x:v>118</x:v>
      </x:c>
      <x:c r="J51">
        <x:f t="shared" si="2"/>
        <x:v>0</x:v>
      </x:c>
      <x:c r="K51" t="n">
        <x:f>COUNTIFS(Grunnspill!$A:$A,Annex!B51)</x:f>
        <x:v>0</x:v>
      </x:c>
      <x:c r="L51" t="n">
        <x:f>COUNTIFS(Grunnspill!$A:$A,Annex!C51)</x:f>
        <x:v>0</x:v>
      </x:c>
      <x:c r="M51" t="n">
        <x:f>COUNTIFS(Grunnspill!$A:$A,Annex!D51)</x:f>
        <x:v>0</x:v>
      </x:c>
      <x:c r="N51" t="n">
        <x:f>COUNTIFS(Grunnspill!$A:$A,Annex!E51)</x:f>
        <x:v>0</x:v>
      </x:c>
      <x:c r="O51" t="n">
        <x:f>COUNTIFS(Grunnspill!$A:$A,Annex!F51)</x:f>
        <x:v>0</x:v>
      </x:c>
      <x:c r="P51" t="n">
        <x:f>COUNTIFS(Grunnspill!$A:$A,Annex!G51)</x:f>
        <x:v>0</x:v>
      </x:c>
      <x:c r="Q51" t="n">
        <x:f>COUNTIFS(Grunnspill!$A:$A,Annex!H51)</x:f>
        <x:v>0</x:v>
      </x:c>
      <x:c r="R51" t="n">
        <x:f>COUNTIFS(Grunnspill!$A:$A,Annex!I51)</x:f>
        <x:v>0</x:v>
      </x:c>
    </x:row>
    <x:row r="52">
      <x:c r="A52">
        <x:v>49</x:v>
      </x:c>
      <x:c r="B52" s="1" t="s">
        <x:v>111</x:v>
      </x:c>
      <x:c r="C52" s="1" t="s">
        <x:v>112</x:v>
      </x:c>
      <x:c r="D52" s="1" t="s">
        <x:v>124</x:v>
      </x:c>
      <x:c r="E52" s="1" t="s">
        <x:v>114</x:v>
      </x:c>
      <x:c r="F52" s="1" t="s">
        <x:v>113</x:v>
      </x:c>
      <x:c r="G52" s="1" t="s">
        <x:v>116</x:v>
      </x:c>
      <x:c r="H52" s="1" t="s">
        <x:v>117</x:v>
      </x:c>
      <x:c r="I52" s="1" t="s">
        <x:v>118</x:v>
      </x:c>
      <x:c r="J52">
        <x:f t="shared" si="2"/>
        <x:v>0</x:v>
      </x:c>
      <x:c r="K52" t="n">
        <x:f>COUNTIFS(Grunnspill!$A:$A,Annex!B52)</x:f>
        <x:v>0</x:v>
      </x:c>
      <x:c r="L52" t="n">
        <x:f>COUNTIFS(Grunnspill!$A:$A,Annex!C52)</x:f>
        <x:v>0</x:v>
      </x:c>
      <x:c r="M52" t="n">
        <x:f>COUNTIFS(Grunnspill!$A:$A,Annex!D52)</x:f>
        <x:v>0</x:v>
      </x:c>
      <x:c r="N52" t="n">
        <x:f>COUNTIFS(Grunnspill!$A:$A,Annex!E52)</x:f>
        <x:v>0</x:v>
      </x:c>
      <x:c r="O52" t="n">
        <x:f>COUNTIFS(Grunnspill!$A:$A,Annex!F52)</x:f>
        <x:v>0</x:v>
      </x:c>
      <x:c r="P52" t="n">
        <x:f>COUNTIFS(Grunnspill!$A:$A,Annex!G52)</x:f>
        <x:v>0</x:v>
      </x:c>
      <x:c r="Q52" t="n">
        <x:f>COUNTIFS(Grunnspill!$A:$A,Annex!H52)</x:f>
        <x:v>0</x:v>
      </x:c>
      <x:c r="R52" t="n">
        <x:f>COUNTIFS(Grunnspill!$A:$A,Annex!I52)</x:f>
        <x:v>0</x:v>
      </x:c>
    </x:row>
    <x:row r="53">
      <x:c r="A53">
        <x:v>50</x:v>
      </x:c>
      <x:c r="B53" s="1" t="s">
        <x:v>111</x:v>
      </x:c>
      <x:c r="C53" s="1" t="s">
        <x:v>112</x:v>
      </x:c>
      <x:c r="D53" s="1" t="s">
        <x:v>124</x:v>
      </x:c>
      <x:c r="E53" s="1" t="s">
        <x:v>114</x:v>
      </x:c>
      <x:c r="F53" s="1" t="s">
        <x:v>115</x:v>
      </x:c>
      <x:c r="G53" s="1" t="s">
        <x:v>116</x:v>
      </x:c>
      <x:c r="H53" s="1" t="s">
        <x:v>117</x:v>
      </x:c>
      <x:c r="I53" s="1" t="s">
        <x:v>118</x:v>
      </x:c>
      <x:c r="J53">
        <x:f t="shared" si="2"/>
        <x:v>0</x:v>
      </x:c>
      <x:c r="K53" t="n">
        <x:f>COUNTIFS(Grunnspill!$A:$A,Annex!B53)</x:f>
        <x:v>0</x:v>
      </x:c>
      <x:c r="L53" t="n">
        <x:f>COUNTIFS(Grunnspill!$A:$A,Annex!C53)</x:f>
        <x:v>0</x:v>
      </x:c>
      <x:c r="M53" t="n">
        <x:f>COUNTIFS(Grunnspill!$A:$A,Annex!D53)</x:f>
        <x:v>0</x:v>
      </x:c>
      <x:c r="N53" t="n">
        <x:f>COUNTIFS(Grunnspill!$A:$A,Annex!E53)</x:f>
        <x:v>0</x:v>
      </x:c>
      <x:c r="O53" t="n">
        <x:f>COUNTIFS(Grunnspill!$A:$A,Annex!F53)</x:f>
        <x:v>0</x:v>
      </x:c>
      <x:c r="P53" t="n">
        <x:f>COUNTIFS(Grunnspill!$A:$A,Annex!G53)</x:f>
        <x:v>0</x:v>
      </x:c>
      <x:c r="Q53" t="n">
        <x:f>COUNTIFS(Grunnspill!$A:$A,Annex!H53)</x:f>
        <x:v>0</x:v>
      </x:c>
      <x:c r="R53" t="n">
        <x:f>COUNTIFS(Grunnspill!$A:$A,Annex!I53)</x:f>
        <x:v>0</x:v>
      </x:c>
    </x:row>
    <x:row r="54">
      <x:c r="A54">
        <x:v>51</x:v>
      </x:c>
      <x:c r="B54" s="1" t="s">
        <x:v>111</x:v>
      </x:c>
      <x:c r="C54" s="1" t="s">
        <x:v>116</x:v>
      </x:c>
      <x:c r="D54" s="1" t="s">
        <x:v>124</x:v>
      </x:c>
      <x:c r="E54" s="1" t="s">
        <x:v>114</x:v>
      </x:c>
      <x:c r="F54" s="1" t="s">
        <x:v>113</x:v>
      </x:c>
      <x:c r="G54" s="1" t="s">
        <x:v>115</x:v>
      </x:c>
      <x:c r="H54" s="1" t="s">
        <x:v>117</x:v>
      </x:c>
      <x:c r="I54" s="1" t="s">
        <x:v>118</x:v>
      </x:c>
      <x:c r="J54">
        <x:f t="shared" si="2"/>
        <x:v>0</x:v>
      </x:c>
      <x:c r="K54" t="n">
        <x:f>COUNTIFS(Grunnspill!$A:$A,Annex!B54)</x:f>
        <x:v>0</x:v>
      </x:c>
      <x:c r="L54" t="n">
        <x:f>COUNTIFS(Grunnspill!$A:$A,Annex!C54)</x:f>
        <x:v>0</x:v>
      </x:c>
      <x:c r="M54" t="n">
        <x:f>COUNTIFS(Grunnspill!$A:$A,Annex!D54)</x:f>
        <x:v>0</x:v>
      </x:c>
      <x:c r="N54" t="n">
        <x:f>COUNTIFS(Grunnspill!$A:$A,Annex!E54)</x:f>
        <x:v>0</x:v>
      </x:c>
      <x:c r="O54" t="n">
        <x:f>COUNTIFS(Grunnspill!$A:$A,Annex!F54)</x:f>
        <x:v>0</x:v>
      </x:c>
      <x:c r="P54" t="n">
        <x:f>COUNTIFS(Grunnspill!$A:$A,Annex!G54)</x:f>
        <x:v>0</x:v>
      </x:c>
      <x:c r="Q54" t="n">
        <x:f>COUNTIFS(Grunnspill!$A:$A,Annex!H54)</x:f>
        <x:v>0</x:v>
      </x:c>
      <x:c r="R54" t="n">
        <x:f>COUNTIFS(Grunnspill!$A:$A,Annex!I54)</x:f>
        <x:v>0</x:v>
      </x:c>
    </x:row>
    <x:row r="55">
      <x:c r="A55">
        <x:v>52</x:v>
      </x:c>
      <x:c r="B55" s="1" t="s">
        <x:v>111</x:v>
      </x:c>
      <x:c r="C55" s="1" t="s">
        <x:v>112</x:v>
      </x:c>
      <x:c r="D55" s="1" t="s">
        <x:v>124</x:v>
      </x:c>
      <x:c r="E55" s="1" t="s">
        <x:v>114</x:v>
      </x:c>
      <x:c r="F55" s="1" t="s">
        <x:v>115</x:v>
      </x:c>
      <x:c r="G55" s="1" t="s">
        <x:v>116</x:v>
      </x:c>
      <x:c r="H55" s="1" t="s">
        <x:v>117</x:v>
      </x:c>
      <x:c r="I55" s="1" t="s">
        <x:v>113</x:v>
      </x:c>
      <x:c r="J55">
        <x:f t="shared" si="2"/>
        <x:v>0</x:v>
      </x:c>
      <x:c r="K55" t="n">
        <x:f>COUNTIFS(Grunnspill!$A:$A,Annex!B55)</x:f>
        <x:v>0</x:v>
      </x:c>
      <x:c r="L55" t="n">
        <x:f>COUNTIFS(Grunnspill!$A:$A,Annex!C55)</x:f>
        <x:v>0</x:v>
      </x:c>
      <x:c r="M55" t="n">
        <x:f>COUNTIFS(Grunnspill!$A:$A,Annex!D55)</x:f>
        <x:v>0</x:v>
      </x:c>
      <x:c r="N55" t="n">
        <x:f>COUNTIFS(Grunnspill!$A:$A,Annex!E55)</x:f>
        <x:v>0</x:v>
      </x:c>
      <x:c r="O55" t="n">
        <x:f>COUNTIFS(Grunnspill!$A:$A,Annex!F55)</x:f>
        <x:v>0</x:v>
      </x:c>
      <x:c r="P55" t="n">
        <x:f>COUNTIFS(Grunnspill!$A:$A,Annex!G55)</x:f>
        <x:v>0</x:v>
      </x:c>
      <x:c r="Q55" t="n">
        <x:f>COUNTIFS(Grunnspill!$A:$A,Annex!H55)</x:f>
        <x:v>0</x:v>
      </x:c>
      <x:c r="R55" t="n">
        <x:f>COUNTIFS(Grunnspill!$A:$A,Annex!I55)</x:f>
        <x:v>0</x:v>
      </x:c>
    </x:row>
    <x:row r="56">
      <x:c r="A56">
        <x:v>53</x:v>
      </x:c>
      <x:c r="B56" s="1" t="s">
        <x:v>111</x:v>
      </x:c>
      <x:c r="C56" s="1" t="s">
        <x:v>112</x:v>
      </x:c>
      <x:c r="D56" s="1" t="s">
        <x:v>124</x:v>
      </x:c>
      <x:c r="E56" s="1" t="s">
        <x:v>114</x:v>
      </x:c>
      <x:c r="F56" s="1" t="s">
        <x:v>115</x:v>
      </x:c>
      <x:c r="G56" s="1" t="s">
        <x:v>116</x:v>
      </x:c>
      <x:c r="H56" s="1" t="s">
        <x:v>113</x:v>
      </x:c>
      <x:c r="I56" s="1" t="s">
        <x:v>118</x:v>
      </x:c>
      <x:c r="J56">
        <x:f t="shared" si="2"/>
        <x:v>0</x:v>
      </x:c>
      <x:c r="K56" t="n">
        <x:f>COUNTIFS(Grunnspill!$A:$A,Annex!B56)</x:f>
        <x:v>0</x:v>
      </x:c>
      <x:c r="L56" t="n">
        <x:f>COUNTIFS(Grunnspill!$A:$A,Annex!C56)</x:f>
        <x:v>0</x:v>
      </x:c>
      <x:c r="M56" t="n">
        <x:f>COUNTIFS(Grunnspill!$A:$A,Annex!D56)</x:f>
        <x:v>0</x:v>
      </x:c>
      <x:c r="N56" t="n">
        <x:f>COUNTIFS(Grunnspill!$A:$A,Annex!E56)</x:f>
        <x:v>0</x:v>
      </x:c>
      <x:c r="O56" t="n">
        <x:f>COUNTIFS(Grunnspill!$A:$A,Annex!F56)</x:f>
        <x:v>0</x:v>
      </x:c>
      <x:c r="P56" t="n">
        <x:f>COUNTIFS(Grunnspill!$A:$A,Annex!G56)</x:f>
        <x:v>0</x:v>
      </x:c>
      <x:c r="Q56" t="n">
        <x:f>COUNTIFS(Grunnspill!$A:$A,Annex!H56)</x:f>
        <x:v>0</x:v>
      </x:c>
      <x:c r="R56" t="n">
        <x:f>COUNTIFS(Grunnspill!$A:$A,Annex!I56)</x:f>
        <x:v>0</x:v>
      </x:c>
    </x:row>
    <x:row r="57">
      <x:c r="A57">
        <x:v>54</x:v>
      </x:c>
      <x:c r="B57" s="1" t="s">
        <x:v>115</x:v>
      </x:c>
      <x:c r="C57" s="1" t="s">
        <x:v>112</x:v>
      </x:c>
      <x:c r="D57" s="1" t="s">
        <x:v>124</x:v>
      </x:c>
      <x:c r="E57" s="1" t="s">
        <x:v>120</x:v>
      </x:c>
      <x:c r="F57" s="1" t="s">
        <x:v>113</x:v>
      </x:c>
      <x:c r="G57" s="1" t="s">
        <x:v>116</x:v>
      </x:c>
      <x:c r="H57" s="1" t="s">
        <x:v>117</x:v>
      </x:c>
      <x:c r="I57" s="1" t="s">
        <x:v>118</x:v>
      </x:c>
      <x:c r="J57">
        <x:f t="shared" si="2"/>
        <x:v>0</x:v>
      </x:c>
      <x:c r="K57" t="n">
        <x:f>COUNTIFS(Grunnspill!$A:$A,Annex!B57)</x:f>
        <x:v>0</x:v>
      </x:c>
      <x:c r="L57" t="n">
        <x:f>COUNTIFS(Grunnspill!$A:$A,Annex!C57)</x:f>
        <x:v>0</x:v>
      </x:c>
      <x:c r="M57" t="n">
        <x:f>COUNTIFS(Grunnspill!$A:$A,Annex!D57)</x:f>
        <x:v>0</x:v>
      </x:c>
      <x:c r="N57" t="n">
        <x:f>COUNTIFS(Grunnspill!$A:$A,Annex!E57)</x:f>
        <x:v>0</x:v>
      </x:c>
      <x:c r="O57" t="n">
        <x:f>COUNTIFS(Grunnspill!$A:$A,Annex!F57)</x:f>
        <x:v>0</x:v>
      </x:c>
      <x:c r="P57" t="n">
        <x:f>COUNTIFS(Grunnspill!$A:$A,Annex!G57)</x:f>
        <x:v>0</x:v>
      </x:c>
      <x:c r="Q57" t="n">
        <x:f>COUNTIFS(Grunnspill!$A:$A,Annex!H57)</x:f>
        <x:v>0</x:v>
      </x:c>
      <x:c r="R57" t="n">
        <x:f>COUNTIFS(Grunnspill!$A:$A,Annex!I57)</x:f>
        <x:v>0</x:v>
      </x:c>
    </x:row>
    <x:row r="58">
      <x:c r="A58">
        <x:v>55</x:v>
      </x:c>
      <x:c r="B58" s="1" t="s">
        <x:v>115</x:v>
      </x:c>
      <x:c r="C58" s="1" t="s">
        <x:v>112</x:v>
      </x:c>
      <x:c r="D58" s="1" t="s">
        <x:v>124</x:v>
      </x:c>
      <x:c r="E58" s="1" t="s">
        <x:v>120</x:v>
      </x:c>
      <x:c r="F58" s="1" t="s">
        <x:v>113</x:v>
      </x:c>
      <x:c r="G58" s="1" t="s">
        <x:v>114</x:v>
      </x:c>
      <x:c r="H58" s="1" t="s">
        <x:v>117</x:v>
      </x:c>
      <x:c r="I58" s="1" t="s">
        <x:v>118</x:v>
      </x:c>
      <x:c r="J58">
        <x:f t="shared" si="2"/>
        <x:v>0</x:v>
      </x:c>
      <x:c r="K58" t="n">
        <x:f>COUNTIFS(Grunnspill!$A:$A,Annex!B58)</x:f>
        <x:v>0</x:v>
      </x:c>
      <x:c r="L58" t="n">
        <x:f>COUNTIFS(Grunnspill!$A:$A,Annex!C58)</x:f>
        <x:v>0</x:v>
      </x:c>
      <x:c r="M58" t="n">
        <x:f>COUNTIFS(Grunnspill!$A:$A,Annex!D58)</x:f>
        <x:v>0</x:v>
      </x:c>
      <x:c r="N58" t="n">
        <x:f>COUNTIFS(Grunnspill!$A:$A,Annex!E58)</x:f>
        <x:v>0</x:v>
      </x:c>
      <x:c r="O58" t="n">
        <x:f>COUNTIFS(Grunnspill!$A:$A,Annex!F58)</x:f>
        <x:v>0</x:v>
      </x:c>
      <x:c r="P58" t="n">
        <x:f>COUNTIFS(Grunnspill!$A:$A,Annex!G58)</x:f>
        <x:v>0</x:v>
      </x:c>
      <x:c r="Q58" t="n">
        <x:f>COUNTIFS(Grunnspill!$A:$A,Annex!H58)</x:f>
        <x:v>0</x:v>
      </x:c>
      <x:c r="R58" t="n">
        <x:f>COUNTIFS(Grunnspill!$A:$A,Annex!I58)</x:f>
        <x:v>0</x:v>
      </x:c>
    </x:row>
    <x:row r="59">
      <x:c r="A59">
        <x:v>56</x:v>
      </x:c>
      <x:c r="B59" s="1" t="s">
        <x:v>113</x:v>
      </x:c>
      <x:c r="C59" s="1" t="s">
        <x:v>116</x:v>
      </x:c>
      <x:c r="D59" s="1" t="s">
        <x:v>124</x:v>
      </x:c>
      <x:c r="E59" s="1" t="s">
        <x:v>120</x:v>
      </x:c>
      <x:c r="F59" s="1" t="s">
        <x:v>112</x:v>
      </x:c>
      <x:c r="G59" s="1" t="s">
        <x:v>114</x:v>
      </x:c>
      <x:c r="H59" s="1" t="s">
        <x:v>117</x:v>
      </x:c>
      <x:c r="I59" s="1" t="s">
        <x:v>118</x:v>
      </x:c>
      <x:c r="J59">
        <x:f t="shared" si="2"/>
        <x:v>0</x:v>
      </x:c>
      <x:c r="K59" t="n">
        <x:f>COUNTIFS(Grunnspill!$A:$A,Annex!B59)</x:f>
        <x:v>0</x:v>
      </x:c>
      <x:c r="L59" t="n">
        <x:f>COUNTIFS(Grunnspill!$A:$A,Annex!C59)</x:f>
        <x:v>0</x:v>
      </x:c>
      <x:c r="M59" t="n">
        <x:f>COUNTIFS(Grunnspill!$A:$A,Annex!D59)</x:f>
        <x:v>0</x:v>
      </x:c>
      <x:c r="N59" t="n">
        <x:f>COUNTIFS(Grunnspill!$A:$A,Annex!E59)</x:f>
        <x:v>0</x:v>
      </x:c>
      <x:c r="O59" t="n">
        <x:f>COUNTIFS(Grunnspill!$A:$A,Annex!F59)</x:f>
        <x:v>0</x:v>
      </x:c>
      <x:c r="P59" t="n">
        <x:f>COUNTIFS(Grunnspill!$A:$A,Annex!G59)</x:f>
        <x:v>0</x:v>
      </x:c>
      <x:c r="Q59" t="n">
        <x:f>COUNTIFS(Grunnspill!$A:$A,Annex!H59)</x:f>
        <x:v>0</x:v>
      </x:c>
      <x:c r="R59" t="n">
        <x:f>COUNTIFS(Grunnspill!$A:$A,Annex!I59)</x:f>
        <x:v>0</x:v>
      </x:c>
    </x:row>
    <x:row r="60">
      <x:c r="A60">
        <x:v>57</x:v>
      </x:c>
      <x:c r="B60" s="1" t="s">
        <x:v>115</x:v>
      </x:c>
      <x:c r="C60" s="1" t="s">
        <x:v>116</x:v>
      </x:c>
      <x:c r="D60" s="1" t="s">
        <x:v>124</x:v>
      </x:c>
      <x:c r="E60" s="1" t="s">
        <x:v>120</x:v>
      </x:c>
      <x:c r="F60" s="1" t="s">
        <x:v>112</x:v>
      </x:c>
      <x:c r="G60" s="1" t="s">
        <x:v>114</x:v>
      </x:c>
      <x:c r="H60" s="1" t="s">
        <x:v>117</x:v>
      </x:c>
      <x:c r="I60" s="1" t="s">
        <x:v>118</x:v>
      </x:c>
      <x:c r="J60">
        <x:f t="shared" si="2"/>
        <x:v>0</x:v>
      </x:c>
      <x:c r="K60" t="n">
        <x:f>COUNTIFS(Grunnspill!$A:$A,Annex!B60)</x:f>
        <x:v>0</x:v>
      </x:c>
      <x:c r="L60" t="n">
        <x:f>COUNTIFS(Grunnspill!$A:$A,Annex!C60)</x:f>
        <x:v>0</x:v>
      </x:c>
      <x:c r="M60" t="n">
        <x:f>COUNTIFS(Grunnspill!$A:$A,Annex!D60)</x:f>
        <x:v>0</x:v>
      </x:c>
      <x:c r="N60" t="n">
        <x:f>COUNTIFS(Grunnspill!$A:$A,Annex!E60)</x:f>
        <x:v>0</x:v>
      </x:c>
      <x:c r="O60" t="n">
        <x:f>COUNTIFS(Grunnspill!$A:$A,Annex!F60)</x:f>
        <x:v>0</x:v>
      </x:c>
      <x:c r="P60" t="n">
        <x:f>COUNTIFS(Grunnspill!$A:$A,Annex!G60)</x:f>
        <x:v>0</x:v>
      </x:c>
      <x:c r="Q60" t="n">
        <x:f>COUNTIFS(Grunnspill!$A:$A,Annex!H60)</x:f>
        <x:v>0</x:v>
      </x:c>
      <x:c r="R60" t="n">
        <x:f>COUNTIFS(Grunnspill!$A:$A,Annex!I60)</x:f>
        <x:v>0</x:v>
      </x:c>
    </x:row>
    <x:row r="61">
      <x:c r="A61">
        <x:v>58</x:v>
      </x:c>
      <x:c r="B61" s="1" t="s">
        <x:v>115</x:v>
      </x:c>
      <x:c r="C61" s="1" t="s">
        <x:v>116</x:v>
      </x:c>
      <x:c r="D61" s="1" t="s">
        <x:v>124</x:v>
      </x:c>
      <x:c r="E61" s="1" t="s">
        <x:v>120</x:v>
      </x:c>
      <x:c r="F61" s="1" t="s">
        <x:v>113</x:v>
      </x:c>
      <x:c r="G61" s="1" t="s">
        <x:v>114</x:v>
      </x:c>
      <x:c r="H61" s="1" t="s">
        <x:v>117</x:v>
      </x:c>
      <x:c r="I61" s="1" t="s">
        <x:v>118</x:v>
      </x:c>
      <x:c r="J61">
        <x:f t="shared" si="2"/>
        <x:v>0</x:v>
      </x:c>
      <x:c r="K61" t="n">
        <x:f>COUNTIFS(Grunnspill!$A:$A,Annex!B61)</x:f>
        <x:v>0</x:v>
      </x:c>
      <x:c r="L61" t="n">
        <x:f>COUNTIFS(Grunnspill!$A:$A,Annex!C61)</x:f>
        <x:v>0</x:v>
      </x:c>
      <x:c r="M61" t="n">
        <x:f>COUNTIFS(Grunnspill!$A:$A,Annex!D61)</x:f>
        <x:v>0</x:v>
      </x:c>
      <x:c r="N61" t="n">
        <x:f>COUNTIFS(Grunnspill!$A:$A,Annex!E61)</x:f>
        <x:v>0</x:v>
      </x:c>
      <x:c r="O61" t="n">
        <x:f>COUNTIFS(Grunnspill!$A:$A,Annex!F61)</x:f>
        <x:v>0</x:v>
      </x:c>
      <x:c r="P61" t="n">
        <x:f>COUNTIFS(Grunnspill!$A:$A,Annex!G61)</x:f>
        <x:v>0</x:v>
      </x:c>
      <x:c r="Q61" t="n">
        <x:f>COUNTIFS(Grunnspill!$A:$A,Annex!H61)</x:f>
        <x:v>0</x:v>
      </x:c>
      <x:c r="R61" t="n">
        <x:f>COUNTIFS(Grunnspill!$A:$A,Annex!I61)</x:f>
        <x:v>0</x:v>
      </x:c>
    </x:row>
    <x:row r="62">
      <x:c r="A62">
        <x:v>59</x:v>
      </x:c>
      <x:c r="B62" s="1" t="s">
        <x:v>115</x:v>
      </x:c>
      <x:c r="C62" s="1" t="s">
        <x:v>116</x:v>
      </x:c>
      <x:c r="D62" s="1" t="s">
        <x:v>124</x:v>
      </x:c>
      <x:c r="E62" s="1" t="s">
        <x:v>120</x:v>
      </x:c>
      <x:c r="F62" s="1" t="s">
        <x:v>112</x:v>
      </x:c>
      <x:c r="G62" s="1" t="s">
        <x:v>114</x:v>
      </x:c>
      <x:c r="H62" s="1" t="s">
        <x:v>117</x:v>
      </x:c>
      <x:c r="I62" s="1" t="s">
        <x:v>113</x:v>
      </x:c>
      <x:c r="J62">
        <x:f t="shared" si="2"/>
        <x:v>0</x:v>
      </x:c>
      <x:c r="K62" t="n">
        <x:f>COUNTIFS(Grunnspill!$A:$A,Annex!B62)</x:f>
        <x:v>0</x:v>
      </x:c>
      <x:c r="L62" t="n">
        <x:f>COUNTIFS(Grunnspill!$A:$A,Annex!C62)</x:f>
        <x:v>0</x:v>
      </x:c>
      <x:c r="M62" t="n">
        <x:f>COUNTIFS(Grunnspill!$A:$A,Annex!D62)</x:f>
        <x:v>0</x:v>
      </x:c>
      <x:c r="N62" t="n">
        <x:f>COUNTIFS(Grunnspill!$A:$A,Annex!E62)</x:f>
        <x:v>0</x:v>
      </x:c>
      <x:c r="O62" t="n">
        <x:f>COUNTIFS(Grunnspill!$A:$A,Annex!F62)</x:f>
        <x:v>0</x:v>
      </x:c>
      <x:c r="P62" t="n">
        <x:f>COUNTIFS(Grunnspill!$A:$A,Annex!G62)</x:f>
        <x:v>0</x:v>
      </x:c>
      <x:c r="Q62" t="n">
        <x:f>COUNTIFS(Grunnspill!$A:$A,Annex!H62)</x:f>
        <x:v>0</x:v>
      </x:c>
      <x:c r="R62" t="n">
        <x:f>COUNTIFS(Grunnspill!$A:$A,Annex!I62)</x:f>
        <x:v>0</x:v>
      </x:c>
    </x:row>
    <x:row r="63">
      <x:c r="A63">
        <x:v>60</x:v>
      </x:c>
      <x:c r="B63" s="1" t="s">
        <x:v>115</x:v>
      </x:c>
      <x:c r="C63" s="1" t="s">
        <x:v>116</x:v>
      </x:c>
      <x:c r="D63" s="1" t="s">
        <x:v>124</x:v>
      </x:c>
      <x:c r="E63" s="1" t="s">
        <x:v>120</x:v>
      </x:c>
      <x:c r="F63" s="1" t="s">
        <x:v>112</x:v>
      </x:c>
      <x:c r="G63" s="1" t="s">
        <x:v>114</x:v>
      </x:c>
      <x:c r="H63" s="1" t="s">
        <x:v>113</x:v>
      </x:c>
      <x:c r="I63" s="1" t="s">
        <x:v>118</x:v>
      </x:c>
      <x:c r="J63">
        <x:f t="shared" si="2"/>
        <x:v>0</x:v>
      </x:c>
      <x:c r="K63" t="n">
        <x:f>COUNTIFS(Grunnspill!$A:$A,Annex!B63)</x:f>
        <x:v>0</x:v>
      </x:c>
      <x:c r="L63" t="n">
        <x:f>COUNTIFS(Grunnspill!$A:$A,Annex!C63)</x:f>
        <x:v>0</x:v>
      </x:c>
      <x:c r="M63" t="n">
        <x:f>COUNTIFS(Grunnspill!$A:$A,Annex!D63)</x:f>
        <x:v>0</x:v>
      </x:c>
      <x:c r="N63" t="n">
        <x:f>COUNTIFS(Grunnspill!$A:$A,Annex!E63)</x:f>
        <x:v>0</x:v>
      </x:c>
      <x:c r="O63" t="n">
        <x:f>COUNTIFS(Grunnspill!$A:$A,Annex!F63)</x:f>
        <x:v>0</x:v>
      </x:c>
      <x:c r="P63" t="n">
        <x:f>COUNTIFS(Grunnspill!$A:$A,Annex!G63)</x:f>
        <x:v>0</x:v>
      </x:c>
      <x:c r="Q63" t="n">
        <x:f>COUNTIFS(Grunnspill!$A:$A,Annex!H63)</x:f>
        <x:v>0</x:v>
      </x:c>
      <x:c r="R63" t="n">
        <x:f>COUNTIFS(Grunnspill!$A:$A,Annex!I63)</x:f>
        <x:v>0</x:v>
      </x:c>
    </x:row>
    <x:row r="64">
      <x:c r="A64">
        <x:v>61</x:v>
      </x:c>
      <x:c r="B64" s="1" t="s">
        <x:v>111</x:v>
      </x:c>
      <x:c r="C64" s="1" t="s">
        <x:v>112</x:v>
      </x:c>
      <x:c r="D64" s="1" t="s">
        <x:v>124</x:v>
      </x:c>
      <x:c r="E64" s="1" t="s">
        <x:v>120</x:v>
      </x:c>
      <x:c r="F64" s="1" t="s">
        <x:v>113</x:v>
      </x:c>
      <x:c r="G64" s="1" t="s">
        <x:v>115</x:v>
      </x:c>
      <x:c r="H64" s="1" t="s">
        <x:v>117</x:v>
      </x:c>
      <x:c r="I64" s="1" t="s">
        <x:v>118</x:v>
      </x:c>
      <x:c r="J64">
        <x:f t="shared" si="2"/>
        <x:v>0</x:v>
      </x:c>
      <x:c r="K64" t="n">
        <x:f>COUNTIFS(Grunnspill!$A:$A,Annex!B64)</x:f>
        <x:v>0</x:v>
      </x:c>
      <x:c r="L64" t="n">
        <x:f>COUNTIFS(Grunnspill!$A:$A,Annex!C64)</x:f>
        <x:v>0</x:v>
      </x:c>
      <x:c r="M64" t="n">
        <x:f>COUNTIFS(Grunnspill!$A:$A,Annex!D64)</x:f>
        <x:v>0</x:v>
      </x:c>
      <x:c r="N64" t="n">
        <x:f>COUNTIFS(Grunnspill!$A:$A,Annex!E64)</x:f>
        <x:v>0</x:v>
      </x:c>
      <x:c r="O64" t="n">
        <x:f>COUNTIFS(Grunnspill!$A:$A,Annex!F64)</x:f>
        <x:v>0</x:v>
      </x:c>
      <x:c r="P64" t="n">
        <x:f>COUNTIFS(Grunnspill!$A:$A,Annex!G64)</x:f>
        <x:v>0</x:v>
      </x:c>
      <x:c r="Q64" t="n">
        <x:f>COUNTIFS(Grunnspill!$A:$A,Annex!H64)</x:f>
        <x:v>0</x:v>
      </x:c>
      <x:c r="R64" t="n">
        <x:f>COUNTIFS(Grunnspill!$A:$A,Annex!I64)</x:f>
        <x:v>0</x:v>
      </x:c>
    </x:row>
    <x:row r="65">
      <x:c r="A65">
        <x:v>62</x:v>
      </x:c>
      <x:c r="B65" s="1" t="s">
        <x:v>111</x:v>
      </x:c>
      <x:c r="C65" s="1" t="s">
        <x:v>112</x:v>
      </x:c>
      <x:c r="D65" s="1" t="s">
        <x:v>124</x:v>
      </x:c>
      <x:c r="E65" s="1" t="s">
        <x:v>120</x:v>
      </x:c>
      <x:c r="F65" s="1" t="s">
        <x:v>113</x:v>
      </x:c>
      <x:c r="G65" s="1" t="s">
        <x:v>116</x:v>
      </x:c>
      <x:c r="H65" s="1" t="s">
        <x:v>117</x:v>
      </x:c>
      <x:c r="I65" s="1" t="s">
        <x:v>118</x:v>
      </x:c>
      <x:c r="J65">
        <x:f t="shared" si="2"/>
        <x:v>0</x:v>
      </x:c>
      <x:c r="K65" t="n">
        <x:f>COUNTIFS(Grunnspill!$A:$A,Annex!B65)</x:f>
        <x:v>0</x:v>
      </x:c>
      <x:c r="L65" t="n">
        <x:f>COUNTIFS(Grunnspill!$A:$A,Annex!C65)</x:f>
        <x:v>0</x:v>
      </x:c>
      <x:c r="M65" t="n">
        <x:f>COUNTIFS(Grunnspill!$A:$A,Annex!D65)</x:f>
        <x:v>0</x:v>
      </x:c>
      <x:c r="N65" t="n">
        <x:f>COUNTIFS(Grunnspill!$A:$A,Annex!E65)</x:f>
        <x:v>0</x:v>
      </x:c>
      <x:c r="O65" t="n">
        <x:f>COUNTIFS(Grunnspill!$A:$A,Annex!F65)</x:f>
        <x:v>0</x:v>
      </x:c>
      <x:c r="P65" t="n">
        <x:f>COUNTIFS(Grunnspill!$A:$A,Annex!G65)</x:f>
        <x:v>0</x:v>
      </x:c>
      <x:c r="Q65" t="n">
        <x:f>COUNTIFS(Grunnspill!$A:$A,Annex!H65)</x:f>
        <x:v>0</x:v>
      </x:c>
      <x:c r="R65" t="n">
        <x:f>COUNTIFS(Grunnspill!$A:$A,Annex!I65)</x:f>
        <x:v>0</x:v>
      </x:c>
    </x:row>
    <x:row r="66">
      <x:c r="A66">
        <x:v>63</x:v>
      </x:c>
      <x:c r="B66" s="1" t="s">
        <x:v>111</x:v>
      </x:c>
      <x:c r="C66" s="1" t="s">
        <x:v>112</x:v>
      </x:c>
      <x:c r="D66" s="1" t="s">
        <x:v>124</x:v>
      </x:c>
      <x:c r="E66" s="1" t="s">
        <x:v>120</x:v>
      </x:c>
      <x:c r="F66" s="1" t="s">
        <x:v>115</x:v>
      </x:c>
      <x:c r="G66" s="1" t="s">
        <x:v>116</x:v>
      </x:c>
      <x:c r="H66" s="1" t="s">
        <x:v>117</x:v>
      </x:c>
      <x:c r="I66" s="1" t="s">
        <x:v>118</x:v>
      </x:c>
      <x:c r="J66">
        <x:f t="shared" si="2"/>
        <x:v>0</x:v>
      </x:c>
      <x:c r="K66" t="n">
        <x:f>COUNTIFS(Grunnspill!$A:$A,Annex!B66)</x:f>
        <x:v>0</x:v>
      </x:c>
      <x:c r="L66" t="n">
        <x:f>COUNTIFS(Grunnspill!$A:$A,Annex!C66)</x:f>
        <x:v>0</x:v>
      </x:c>
      <x:c r="M66" t="n">
        <x:f>COUNTIFS(Grunnspill!$A:$A,Annex!D66)</x:f>
        <x:v>0</x:v>
      </x:c>
      <x:c r="N66" t="n">
        <x:f>COUNTIFS(Grunnspill!$A:$A,Annex!E66)</x:f>
        <x:v>0</x:v>
      </x:c>
      <x:c r="O66" t="n">
        <x:f>COUNTIFS(Grunnspill!$A:$A,Annex!F66)</x:f>
        <x:v>0</x:v>
      </x:c>
      <x:c r="P66" t="n">
        <x:f>COUNTIFS(Grunnspill!$A:$A,Annex!G66)</x:f>
        <x:v>0</x:v>
      </x:c>
      <x:c r="Q66" t="n">
        <x:f>COUNTIFS(Grunnspill!$A:$A,Annex!H66)</x:f>
        <x:v>0</x:v>
      </x:c>
      <x:c r="R66" t="n">
        <x:f>COUNTIFS(Grunnspill!$A:$A,Annex!I66)</x:f>
        <x:v>0</x:v>
      </x:c>
    </x:row>
    <x:row r="67">
      <x:c r="A67">
        <x:v>64</x:v>
      </x:c>
      <x:c r="B67" s="1" t="s">
        <x:v>111</x:v>
      </x:c>
      <x:c r="C67" s="1" t="s">
        <x:v>116</x:v>
      </x:c>
      <x:c r="D67" s="1" t="s">
        <x:v>124</x:v>
      </x:c>
      <x:c r="E67" s="1" t="s">
        <x:v>120</x:v>
      </x:c>
      <x:c r="F67" s="1" t="s">
        <x:v>113</x:v>
      </x:c>
      <x:c r="G67" s="1" t="s">
        <x:v>115</x:v>
      </x:c>
      <x:c r="H67" s="1" t="s">
        <x:v>117</x:v>
      </x:c>
      <x:c r="I67" s="1" t="s">
        <x:v>118</x:v>
      </x:c>
      <x:c r="J67">
        <x:f t="shared" si="2"/>
        <x:v>0</x:v>
      </x:c>
      <x:c r="K67" t="n">
        <x:f>COUNTIFS(Grunnspill!$A:$A,Annex!B67)</x:f>
        <x:v>0</x:v>
      </x:c>
      <x:c r="L67" t="n">
        <x:f>COUNTIFS(Grunnspill!$A:$A,Annex!C67)</x:f>
        <x:v>0</x:v>
      </x:c>
      <x:c r="M67" t="n">
        <x:f>COUNTIFS(Grunnspill!$A:$A,Annex!D67)</x:f>
        <x:v>0</x:v>
      </x:c>
      <x:c r="N67" t="n">
        <x:f>COUNTIFS(Grunnspill!$A:$A,Annex!E67)</x:f>
        <x:v>0</x:v>
      </x:c>
      <x:c r="O67" t="n">
        <x:f>COUNTIFS(Grunnspill!$A:$A,Annex!F67)</x:f>
        <x:v>0</x:v>
      </x:c>
      <x:c r="P67" t="n">
        <x:f>COUNTIFS(Grunnspill!$A:$A,Annex!G67)</x:f>
        <x:v>0</x:v>
      </x:c>
      <x:c r="Q67" t="n">
        <x:f>COUNTIFS(Grunnspill!$A:$A,Annex!H67)</x:f>
        <x:v>0</x:v>
      </x:c>
      <x:c r="R67" t="n">
        <x:f>COUNTIFS(Grunnspill!$A:$A,Annex!I67)</x:f>
        <x:v>0</x:v>
      </x:c>
    </x:row>
    <x:row r="68">
      <x:c r="A68">
        <x:v>65</x:v>
      </x:c>
      <x:c r="B68" s="1" t="s">
        <x:v>111</x:v>
      </x:c>
      <x:c r="C68" s="1" t="s">
        <x:v>112</x:v>
      </x:c>
      <x:c r="D68" s="1" t="s">
        <x:v>124</x:v>
      </x:c>
      <x:c r="E68" s="1" t="s">
        <x:v>120</x:v>
      </x:c>
      <x:c r="F68" s="1" t="s">
        <x:v>115</x:v>
      </x:c>
      <x:c r="G68" s="1" t="s">
        <x:v>116</x:v>
      </x:c>
      <x:c r="H68" s="1" t="s">
        <x:v>117</x:v>
      </x:c>
      <x:c r="I68" s="1" t="s">
        <x:v>113</x:v>
      </x:c>
      <x:c r="J68">
        <x:f t="shared" si="2"/>
        <x:v>0</x:v>
      </x:c>
      <x:c r="K68" t="n">
        <x:f>COUNTIFS(Grunnspill!$A:$A,Annex!B68)</x:f>
        <x:v>0</x:v>
      </x:c>
      <x:c r="L68" t="n">
        <x:f>COUNTIFS(Grunnspill!$A:$A,Annex!C68)</x:f>
        <x:v>0</x:v>
      </x:c>
      <x:c r="M68" t="n">
        <x:f>COUNTIFS(Grunnspill!$A:$A,Annex!D68)</x:f>
        <x:v>0</x:v>
      </x:c>
      <x:c r="N68" t="n">
        <x:f>COUNTIFS(Grunnspill!$A:$A,Annex!E68)</x:f>
        <x:v>0</x:v>
      </x:c>
      <x:c r="O68" t="n">
        <x:f>COUNTIFS(Grunnspill!$A:$A,Annex!F68)</x:f>
        <x:v>0</x:v>
      </x:c>
      <x:c r="P68" t="n">
        <x:f>COUNTIFS(Grunnspill!$A:$A,Annex!G68)</x:f>
        <x:v>0</x:v>
      </x:c>
      <x:c r="Q68" t="n">
        <x:f>COUNTIFS(Grunnspill!$A:$A,Annex!H68)</x:f>
        <x:v>0</x:v>
      </x:c>
      <x:c r="R68" t="n">
        <x:f>COUNTIFS(Grunnspill!$A:$A,Annex!I68)</x:f>
        <x:v>0</x:v>
      </x:c>
    </x:row>
    <x:row r="69">
      <x:c r="A69">
        <x:v>66</x:v>
      </x:c>
      <x:c r="B69" s="1" t="s">
        <x:v>111</x:v>
      </x:c>
      <x:c r="C69" s="1" t="s">
        <x:v>112</x:v>
      </x:c>
      <x:c r="D69" s="1" t="s">
        <x:v>124</x:v>
      </x:c>
      <x:c r="E69" s="1" t="s">
        <x:v>120</x:v>
      </x:c>
      <x:c r="F69" s="1" t="s">
        <x:v>115</x:v>
      </x:c>
      <x:c r="G69" s="1" t="s">
        <x:v>116</x:v>
      </x:c>
      <x:c r="H69" s="1" t="s">
        <x:v>113</x:v>
      </x:c>
      <x:c r="I69" s="1" t="s">
        <x:v>118</x:v>
      </x:c>
      <x:c r="J69">
        <x:f t="shared" si="2"/>
        <x:v>0</x:v>
      </x:c>
      <x:c r="K69" t="n">
        <x:f>COUNTIFS(Grunnspill!$A:$A,Annex!B69)</x:f>
        <x:v>0</x:v>
      </x:c>
      <x:c r="L69" t="n">
        <x:f>COUNTIFS(Grunnspill!$A:$A,Annex!C69)</x:f>
        <x:v>0</x:v>
      </x:c>
      <x:c r="M69" t="n">
        <x:f>COUNTIFS(Grunnspill!$A:$A,Annex!D69)</x:f>
        <x:v>0</x:v>
      </x:c>
      <x:c r="N69" t="n">
        <x:f>COUNTIFS(Grunnspill!$A:$A,Annex!E69)</x:f>
        <x:v>0</x:v>
      </x:c>
      <x:c r="O69" t="n">
        <x:f>COUNTIFS(Grunnspill!$A:$A,Annex!F69)</x:f>
        <x:v>0</x:v>
      </x:c>
      <x:c r="P69" t="n">
        <x:f>COUNTIFS(Grunnspill!$A:$A,Annex!G69)</x:f>
        <x:v>0</x:v>
      </x:c>
      <x:c r="Q69" t="n">
        <x:f>COUNTIFS(Grunnspill!$A:$A,Annex!H69)</x:f>
        <x:v>0</x:v>
      </x:c>
      <x:c r="R69" t="n">
        <x:f>COUNTIFS(Grunnspill!$A:$A,Annex!I69)</x:f>
        <x:v>0</x:v>
      </x:c>
    </x:row>
    <x:row r="70">
      <x:c r="A70">
        <x:v>67</x:v>
      </x:c>
      <x:c r="B70" s="1" t="s">
        <x:v>111</x:v>
      </x:c>
      <x:c r="C70" s="1" t="s">
        <x:v>112</x:v>
      </x:c>
      <x:c r="D70" s="1" t="s">
        <x:v>124</x:v>
      </x:c>
      <x:c r="E70" s="1" t="s">
        <x:v>120</x:v>
      </x:c>
      <x:c r="F70" s="1" t="s">
        <x:v>113</x:v>
      </x:c>
      <x:c r="G70" s="1" t="s">
        <x:v>114</x:v>
      </x:c>
      <x:c r="H70" s="1" t="s">
        <x:v>117</x:v>
      </x:c>
      <x:c r="I70" s="1" t="s">
        <x:v>118</x:v>
      </x:c>
      <x:c r="J70">
        <x:f t="shared" si="2"/>
        <x:v>0</x:v>
      </x:c>
      <x:c r="K70" t="n">
        <x:f>COUNTIFS(Grunnspill!$A:$A,Annex!B70)</x:f>
        <x:v>0</x:v>
      </x:c>
      <x:c r="L70" t="n">
        <x:f>COUNTIFS(Grunnspill!$A:$A,Annex!C70)</x:f>
        <x:v>0</x:v>
      </x:c>
      <x:c r="M70" t="n">
        <x:f>COUNTIFS(Grunnspill!$A:$A,Annex!D70)</x:f>
        <x:v>0</x:v>
      </x:c>
      <x:c r="N70" t="n">
        <x:f>COUNTIFS(Grunnspill!$A:$A,Annex!E70)</x:f>
        <x:v>0</x:v>
      </x:c>
      <x:c r="O70" t="n">
        <x:f>COUNTIFS(Grunnspill!$A:$A,Annex!F70)</x:f>
        <x:v>0</x:v>
      </x:c>
      <x:c r="P70" t="n">
        <x:f>COUNTIFS(Grunnspill!$A:$A,Annex!G70)</x:f>
        <x:v>0</x:v>
      </x:c>
      <x:c r="Q70" t="n">
        <x:f>COUNTIFS(Grunnspill!$A:$A,Annex!H70)</x:f>
        <x:v>0</x:v>
      </x:c>
      <x:c r="R70" t="n">
        <x:f>COUNTIFS(Grunnspill!$A:$A,Annex!I70)</x:f>
        <x:v>0</x:v>
      </x:c>
    </x:row>
    <x:row r="71">
      <x:c r="A71">
        <x:v>68</x:v>
      </x:c>
      <x:c r="B71" s="1" t="s">
        <x:v>111</x:v>
      </x:c>
      <x:c r="C71" s="1" t="s">
        <x:v>112</x:v>
      </x:c>
      <x:c r="D71" s="1" t="s">
        <x:v>124</x:v>
      </x:c>
      <x:c r="E71" s="1" t="s">
        <x:v>120</x:v>
      </x:c>
      <x:c r="F71" s="1" t="s">
        <x:v>115</x:v>
      </x:c>
      <x:c r="G71" s="1" t="s">
        <x:v>114</x:v>
      </x:c>
      <x:c r="H71" s="1" t="s">
        <x:v>117</x:v>
      </x:c>
      <x:c r="I71" s="1" t="s">
        <x:v>118</x:v>
      </x:c>
      <x:c r="J71">
        <x:f t="shared" si="2"/>
        <x:v>0</x:v>
      </x:c>
      <x:c r="K71" t="n">
        <x:f>COUNTIFS(Grunnspill!$A:$A,Annex!B71)</x:f>
        <x:v>0</x:v>
      </x:c>
      <x:c r="L71" t="n">
        <x:f>COUNTIFS(Grunnspill!$A:$A,Annex!C71)</x:f>
        <x:v>0</x:v>
      </x:c>
      <x:c r="M71" t="n">
        <x:f>COUNTIFS(Grunnspill!$A:$A,Annex!D71)</x:f>
        <x:v>0</x:v>
      </x:c>
      <x:c r="N71" t="n">
        <x:f>COUNTIFS(Grunnspill!$A:$A,Annex!E71)</x:f>
        <x:v>0</x:v>
      </x:c>
      <x:c r="O71" t="n">
        <x:f>COUNTIFS(Grunnspill!$A:$A,Annex!F71)</x:f>
        <x:v>0</x:v>
      </x:c>
      <x:c r="P71" t="n">
        <x:f>COUNTIFS(Grunnspill!$A:$A,Annex!G71)</x:f>
        <x:v>0</x:v>
      </x:c>
      <x:c r="Q71" t="n">
        <x:f>COUNTIFS(Grunnspill!$A:$A,Annex!H71)</x:f>
        <x:v>0</x:v>
      </x:c>
      <x:c r="R71" t="n">
        <x:f>COUNTIFS(Grunnspill!$A:$A,Annex!I71)</x:f>
        <x:v>0</x:v>
      </x:c>
    </x:row>
    <x:row r="72">
      <x:c r="A72">
        <x:v>69</x:v>
      </x:c>
      <x:c r="B72" s="1" t="s">
        <x:v>111</x:v>
      </x:c>
      <x:c r="C72" s="1" t="s">
        <x:v>113</x:v>
      </x:c>
      <x:c r="D72" s="1" t="s">
        <x:v>124</x:v>
      </x:c>
      <x:c r="E72" s="1" t="s">
        <x:v>120</x:v>
      </x:c>
      <x:c r="F72" s="1" t="s">
        <x:v>115</x:v>
      </x:c>
      <x:c r="G72" s="1" t="s">
        <x:v>114</x:v>
      </x:c>
      <x:c r="H72" s="1" t="s">
        <x:v>117</x:v>
      </x:c>
      <x:c r="I72" s="1" t="s">
        <x:v>118</x:v>
      </x:c>
      <x:c r="J72">
        <x:f t="shared" si="2"/>
        <x:v>0</x:v>
      </x:c>
      <x:c r="K72" t="n">
        <x:f>COUNTIFS(Grunnspill!$A:$A,Annex!B72)</x:f>
        <x:v>0</x:v>
      </x:c>
      <x:c r="L72" t="n">
        <x:f>COUNTIFS(Grunnspill!$A:$A,Annex!C72)</x:f>
        <x:v>0</x:v>
      </x:c>
      <x:c r="M72" t="n">
        <x:f>COUNTIFS(Grunnspill!$A:$A,Annex!D72)</x:f>
        <x:v>0</x:v>
      </x:c>
      <x:c r="N72" t="n">
        <x:f>COUNTIFS(Grunnspill!$A:$A,Annex!E72)</x:f>
        <x:v>0</x:v>
      </x:c>
      <x:c r="O72" t="n">
        <x:f>COUNTIFS(Grunnspill!$A:$A,Annex!F72)</x:f>
        <x:v>0</x:v>
      </x:c>
      <x:c r="P72" t="n">
        <x:f>COUNTIFS(Grunnspill!$A:$A,Annex!G72)</x:f>
        <x:v>0</x:v>
      </x:c>
      <x:c r="Q72" t="n">
        <x:f>COUNTIFS(Grunnspill!$A:$A,Annex!H72)</x:f>
        <x:v>0</x:v>
      </x:c>
      <x:c r="R72" t="n">
        <x:f>COUNTIFS(Grunnspill!$A:$A,Annex!I72)</x:f>
        <x:v>0</x:v>
      </x:c>
    </x:row>
    <x:row r="73">
      <x:c r="A73">
        <x:v>70</x:v>
      </x:c>
      <x:c r="B73" s="1" t="s">
        <x:v>111</x:v>
      </x:c>
      <x:c r="C73" s="1" t="s">
        <x:v>112</x:v>
      </x:c>
      <x:c r="D73" s="1" t="s">
        <x:v>124</x:v>
      </x:c>
      <x:c r="E73" s="1" t="s">
        <x:v>120</x:v>
      </x:c>
      <x:c r="F73" s="1" t="s">
        <x:v>115</x:v>
      </x:c>
      <x:c r="G73" s="1" t="s">
        <x:v>114</x:v>
      </x:c>
      <x:c r="H73" s="1" t="s">
        <x:v>117</x:v>
      </x:c>
      <x:c r="I73" s="1" t="s">
        <x:v>113</x:v>
      </x:c>
      <x:c r="J73">
        <x:f t="shared" si="2"/>
        <x:v>0</x:v>
      </x:c>
      <x:c r="K73" t="n">
        <x:f>COUNTIFS(Grunnspill!$A:$A,Annex!B73)</x:f>
        <x:v>0</x:v>
      </x:c>
      <x:c r="L73" t="n">
        <x:f>COUNTIFS(Grunnspill!$A:$A,Annex!C73)</x:f>
        <x:v>0</x:v>
      </x:c>
      <x:c r="M73" t="n">
        <x:f>COUNTIFS(Grunnspill!$A:$A,Annex!D73)</x:f>
        <x:v>0</x:v>
      </x:c>
      <x:c r="N73" t="n">
        <x:f>COUNTIFS(Grunnspill!$A:$A,Annex!E73)</x:f>
        <x:v>0</x:v>
      </x:c>
      <x:c r="O73" t="n">
        <x:f>COUNTIFS(Grunnspill!$A:$A,Annex!F73)</x:f>
        <x:v>0</x:v>
      </x:c>
      <x:c r="P73" t="n">
        <x:f>COUNTIFS(Grunnspill!$A:$A,Annex!G73)</x:f>
        <x:v>0</x:v>
      </x:c>
      <x:c r="Q73" t="n">
        <x:f>COUNTIFS(Grunnspill!$A:$A,Annex!H73)</x:f>
        <x:v>0</x:v>
      </x:c>
      <x:c r="R73" t="n">
        <x:f>COUNTIFS(Grunnspill!$A:$A,Annex!I73)</x:f>
        <x:v>0</x:v>
      </x:c>
    </x:row>
    <x:row r="74">
      <x:c r="A74">
        <x:v>71</x:v>
      </x:c>
      <x:c r="B74" s="1" t="s">
        <x:v>111</x:v>
      </x:c>
      <x:c r="C74" s="1" t="s">
        <x:v>112</x:v>
      </x:c>
      <x:c r="D74" s="1" t="s">
        <x:v>124</x:v>
      </x:c>
      <x:c r="E74" s="1" t="s">
        <x:v>120</x:v>
      </x:c>
      <x:c r="F74" s="1" t="s">
        <x:v>115</x:v>
      </x:c>
      <x:c r="G74" s="1" t="s">
        <x:v>114</x:v>
      </x:c>
      <x:c r="H74" s="1" t="s">
        <x:v>113</x:v>
      </x:c>
      <x:c r="I74" s="1" t="s">
        <x:v>118</x:v>
      </x:c>
      <x:c r="J74">
        <x:f t="shared" si="2"/>
        <x:v>0</x:v>
      </x:c>
      <x:c r="K74" t="n">
        <x:f>COUNTIFS(Grunnspill!$A:$A,Annex!B74)</x:f>
        <x:v>0</x:v>
      </x:c>
      <x:c r="L74" t="n">
        <x:f>COUNTIFS(Grunnspill!$A:$A,Annex!C74)</x:f>
        <x:v>0</x:v>
      </x:c>
      <x:c r="M74" t="n">
        <x:f>COUNTIFS(Grunnspill!$A:$A,Annex!D74)</x:f>
        <x:v>0</x:v>
      </x:c>
      <x:c r="N74" t="n">
        <x:f>COUNTIFS(Grunnspill!$A:$A,Annex!E74)</x:f>
        <x:v>0</x:v>
      </x:c>
      <x:c r="O74" t="n">
        <x:f>COUNTIFS(Grunnspill!$A:$A,Annex!F74)</x:f>
        <x:v>0</x:v>
      </x:c>
      <x:c r="P74" t="n">
        <x:f>COUNTIFS(Grunnspill!$A:$A,Annex!G74)</x:f>
        <x:v>0</x:v>
      </x:c>
      <x:c r="Q74" t="n">
        <x:f>COUNTIFS(Grunnspill!$A:$A,Annex!H74)</x:f>
        <x:v>0</x:v>
      </x:c>
      <x:c r="R74" t="n">
        <x:f>COUNTIFS(Grunnspill!$A:$A,Annex!I74)</x:f>
        <x:v>0</x:v>
      </x:c>
    </x:row>
    <x:row r="75">
      <x:c r="A75">
        <x:v>72</x:v>
      </x:c>
      <x:c r="B75" s="1" t="s">
        <x:v>111</x:v>
      </x:c>
      <x:c r="C75" s="1" t="s">
        <x:v>116</x:v>
      </x:c>
      <x:c r="D75" s="1" t="s">
        <x:v>124</x:v>
      </x:c>
      <x:c r="E75" s="1" t="s">
        <x:v>120</x:v>
      </x:c>
      <x:c r="F75" s="1" t="s">
        <x:v>112</x:v>
      </x:c>
      <x:c r="G75" s="1" t="s">
        <x:v>114</x:v>
      </x:c>
      <x:c r="H75" s="1" t="s">
        <x:v>117</x:v>
      </x:c>
      <x:c r="I75" s="1" t="s">
        <x:v>118</x:v>
      </x:c>
      <x:c r="J75">
        <x:f t="shared" si="2"/>
        <x:v>0</x:v>
      </x:c>
      <x:c r="K75" t="n">
        <x:f>COUNTIFS(Grunnspill!$A:$A,Annex!B75)</x:f>
        <x:v>0</x:v>
      </x:c>
      <x:c r="L75" t="n">
        <x:f>COUNTIFS(Grunnspill!$A:$A,Annex!C75)</x:f>
        <x:v>0</x:v>
      </x:c>
      <x:c r="M75" t="n">
        <x:f>COUNTIFS(Grunnspill!$A:$A,Annex!D75)</x:f>
        <x:v>0</x:v>
      </x:c>
      <x:c r="N75" t="n">
        <x:f>COUNTIFS(Grunnspill!$A:$A,Annex!E75)</x:f>
        <x:v>0</x:v>
      </x:c>
      <x:c r="O75" t="n">
        <x:f>COUNTIFS(Grunnspill!$A:$A,Annex!F75)</x:f>
        <x:v>0</x:v>
      </x:c>
      <x:c r="P75" t="n">
        <x:f>COUNTIFS(Grunnspill!$A:$A,Annex!G75)</x:f>
        <x:v>0</x:v>
      </x:c>
      <x:c r="Q75" t="n">
        <x:f>COUNTIFS(Grunnspill!$A:$A,Annex!H75)</x:f>
        <x:v>0</x:v>
      </x:c>
      <x:c r="R75" t="n">
        <x:f>COUNTIFS(Grunnspill!$A:$A,Annex!I75)</x:f>
        <x:v>0</x:v>
      </x:c>
    </x:row>
    <x:row r="76">
      <x:c r="A76">
        <x:v>73</x:v>
      </x:c>
      <x:c r="B76" s="1" t="s">
        <x:v>111</x:v>
      </x:c>
      <x:c r="C76" s="1" t="s">
        <x:v>116</x:v>
      </x:c>
      <x:c r="D76" s="1" t="s">
        <x:v>124</x:v>
      </x:c>
      <x:c r="E76" s="1" t="s">
        <x:v>120</x:v>
      </x:c>
      <x:c r="F76" s="1" t="s">
        <x:v>113</x:v>
      </x:c>
      <x:c r="G76" s="1" t="s">
        <x:v>114</x:v>
      </x:c>
      <x:c r="H76" s="1" t="s">
        <x:v>117</x:v>
      </x:c>
      <x:c r="I76" s="1" t="s">
        <x:v>118</x:v>
      </x:c>
      <x:c r="J76">
        <x:f t="shared" si="2"/>
        <x:v>0</x:v>
      </x:c>
      <x:c r="K76" t="n">
        <x:f>COUNTIFS(Grunnspill!$A:$A,Annex!B76)</x:f>
        <x:v>0</x:v>
      </x:c>
      <x:c r="L76" t="n">
        <x:f>COUNTIFS(Grunnspill!$A:$A,Annex!C76)</x:f>
        <x:v>0</x:v>
      </x:c>
      <x:c r="M76" t="n">
        <x:f>COUNTIFS(Grunnspill!$A:$A,Annex!D76)</x:f>
        <x:v>0</x:v>
      </x:c>
      <x:c r="N76" t="n">
        <x:f>COUNTIFS(Grunnspill!$A:$A,Annex!E76)</x:f>
        <x:v>0</x:v>
      </x:c>
      <x:c r="O76" t="n">
        <x:f>COUNTIFS(Grunnspill!$A:$A,Annex!F76)</x:f>
        <x:v>0</x:v>
      </x:c>
      <x:c r="P76" t="n">
        <x:f>COUNTIFS(Grunnspill!$A:$A,Annex!G76)</x:f>
        <x:v>0</x:v>
      </x:c>
      <x:c r="Q76" t="n">
        <x:f>COUNTIFS(Grunnspill!$A:$A,Annex!H76)</x:f>
        <x:v>0</x:v>
      </x:c>
      <x:c r="R76" t="n">
        <x:f>COUNTIFS(Grunnspill!$A:$A,Annex!I76)</x:f>
        <x:v>0</x:v>
      </x:c>
    </x:row>
    <x:row r="77">
      <x:c r="A77">
        <x:v>74</x:v>
      </x:c>
      <x:c r="B77" s="1" t="s">
        <x:v>111</x:v>
      </x:c>
      <x:c r="C77" s="1" t="s">
        <x:v>116</x:v>
      </x:c>
      <x:c r="D77" s="1" t="s">
        <x:v>124</x:v>
      </x:c>
      <x:c r="E77" s="1" t="s">
        <x:v>120</x:v>
      </x:c>
      <x:c r="F77" s="1" t="s">
        <x:v>112</x:v>
      </x:c>
      <x:c r="G77" s="1" t="s">
        <x:v>114</x:v>
      </x:c>
      <x:c r="H77" s="1" t="s">
        <x:v>117</x:v>
      </x:c>
      <x:c r="I77" s="1" t="s">
        <x:v>113</x:v>
      </x:c>
      <x:c r="J77">
        <x:f t="shared" si="2"/>
        <x:v>0</x:v>
      </x:c>
      <x:c r="K77" t="n">
        <x:f>COUNTIFS(Grunnspill!$A:$A,Annex!B77)</x:f>
        <x:v>0</x:v>
      </x:c>
      <x:c r="L77" t="n">
        <x:f>COUNTIFS(Grunnspill!$A:$A,Annex!C77)</x:f>
        <x:v>0</x:v>
      </x:c>
      <x:c r="M77" t="n">
        <x:f>COUNTIFS(Grunnspill!$A:$A,Annex!D77)</x:f>
        <x:v>0</x:v>
      </x:c>
      <x:c r="N77" t="n">
        <x:f>COUNTIFS(Grunnspill!$A:$A,Annex!E77)</x:f>
        <x:v>0</x:v>
      </x:c>
      <x:c r="O77" t="n">
        <x:f>COUNTIFS(Grunnspill!$A:$A,Annex!F77)</x:f>
        <x:v>0</x:v>
      </x:c>
      <x:c r="P77" t="n">
        <x:f>COUNTIFS(Grunnspill!$A:$A,Annex!G77)</x:f>
        <x:v>0</x:v>
      </x:c>
      <x:c r="Q77" t="n">
        <x:f>COUNTIFS(Grunnspill!$A:$A,Annex!H77)</x:f>
        <x:v>0</x:v>
      </x:c>
      <x:c r="R77" t="n">
        <x:f>COUNTIFS(Grunnspill!$A:$A,Annex!I77)</x:f>
        <x:v>0</x:v>
      </x:c>
    </x:row>
    <x:row r="78">
      <x:c r="A78">
        <x:v>75</x:v>
      </x:c>
      <x:c r="B78" s="1" t="s">
        <x:v>111</x:v>
      </x:c>
      <x:c r="C78" s="1" t="s">
        <x:v>116</x:v>
      </x:c>
      <x:c r="D78" s="1" t="s">
        <x:v>124</x:v>
      </x:c>
      <x:c r="E78" s="1" t="s">
        <x:v>120</x:v>
      </x:c>
      <x:c r="F78" s="1" t="s">
        <x:v>112</x:v>
      </x:c>
      <x:c r="G78" s="1" t="s">
        <x:v>114</x:v>
      </x:c>
      <x:c r="H78" s="1" t="s">
        <x:v>113</x:v>
      </x:c>
      <x:c r="I78" s="1" t="s">
        <x:v>118</x:v>
      </x:c>
      <x:c r="J78">
        <x:f t="shared" si="2"/>
        <x:v>0</x:v>
      </x:c>
      <x:c r="K78" t="n">
        <x:f>COUNTIFS(Grunnspill!$A:$A,Annex!B78)</x:f>
        <x:v>0</x:v>
      </x:c>
      <x:c r="L78" t="n">
        <x:f>COUNTIFS(Grunnspill!$A:$A,Annex!C78)</x:f>
        <x:v>0</x:v>
      </x:c>
      <x:c r="M78" t="n">
        <x:f>COUNTIFS(Grunnspill!$A:$A,Annex!D78)</x:f>
        <x:v>0</x:v>
      </x:c>
      <x:c r="N78" t="n">
        <x:f>COUNTIFS(Grunnspill!$A:$A,Annex!E78)</x:f>
        <x:v>0</x:v>
      </x:c>
      <x:c r="O78" t="n">
        <x:f>COUNTIFS(Grunnspill!$A:$A,Annex!F78)</x:f>
        <x:v>0</x:v>
      </x:c>
      <x:c r="P78" t="n">
        <x:f>COUNTIFS(Grunnspill!$A:$A,Annex!G78)</x:f>
        <x:v>0</x:v>
      </x:c>
      <x:c r="Q78" t="n">
        <x:f>COUNTIFS(Grunnspill!$A:$A,Annex!H78)</x:f>
        <x:v>0</x:v>
      </x:c>
      <x:c r="R78" t="n">
        <x:f>COUNTIFS(Grunnspill!$A:$A,Annex!I78)</x:f>
        <x:v>0</x:v>
      </x:c>
    </x:row>
    <x:row r="79">
      <x:c r="A79">
        <x:v>76</x:v>
      </x:c>
      <x:c r="B79" s="1" t="s">
        <x:v>111</x:v>
      </x:c>
      <x:c r="C79" s="1" t="s">
        <x:v>116</x:v>
      </x:c>
      <x:c r="D79" s="1" t="s">
        <x:v>124</x:v>
      </x:c>
      <x:c r="E79" s="1" t="s">
        <x:v>120</x:v>
      </x:c>
      <x:c r="F79" s="1" t="s">
        <x:v>115</x:v>
      </x:c>
      <x:c r="G79" s="1" t="s">
        <x:v>114</x:v>
      </x:c>
      <x:c r="H79" s="1" t="s">
        <x:v>117</x:v>
      </x:c>
      <x:c r="I79" s="1" t="s">
        <x:v>118</x:v>
      </x:c>
      <x:c r="J79">
        <x:f t="shared" si="2"/>
        <x:v>0</x:v>
      </x:c>
      <x:c r="K79" t="n">
        <x:f>COUNTIFS(Grunnspill!$A:$A,Annex!B79)</x:f>
        <x:v>0</x:v>
      </x:c>
      <x:c r="L79" t="n">
        <x:f>COUNTIFS(Grunnspill!$A:$A,Annex!C79)</x:f>
        <x:v>0</x:v>
      </x:c>
      <x:c r="M79" t="n">
        <x:f>COUNTIFS(Grunnspill!$A:$A,Annex!D79)</x:f>
        <x:v>0</x:v>
      </x:c>
      <x:c r="N79" t="n">
        <x:f>COUNTIFS(Grunnspill!$A:$A,Annex!E79)</x:f>
        <x:v>0</x:v>
      </x:c>
      <x:c r="O79" t="n">
        <x:f>COUNTIFS(Grunnspill!$A:$A,Annex!F79)</x:f>
        <x:v>0</x:v>
      </x:c>
      <x:c r="P79" t="n">
        <x:f>COUNTIFS(Grunnspill!$A:$A,Annex!G79)</x:f>
        <x:v>0</x:v>
      </x:c>
      <x:c r="Q79" t="n">
        <x:f>COUNTIFS(Grunnspill!$A:$A,Annex!H79)</x:f>
        <x:v>0</x:v>
      </x:c>
      <x:c r="R79" t="n">
        <x:f>COUNTIFS(Grunnspill!$A:$A,Annex!I79)</x:f>
        <x:v>0</x:v>
      </x:c>
    </x:row>
    <x:row r="80">
      <x:c r="A80">
        <x:v>77</x:v>
      </x:c>
      <x:c r="B80" s="1" t="s">
        <x:v>115</x:v>
      </x:c>
      <x:c r="C80" s="1" t="s">
        <x:v>116</x:v>
      </x:c>
      <x:c r="D80" s="1" t="s">
        <x:v>124</x:v>
      </x:c>
      <x:c r="E80" s="1" t="s">
        <x:v>120</x:v>
      </x:c>
      <x:c r="F80" s="1" t="s">
        <x:v>112</x:v>
      </x:c>
      <x:c r="G80" s="1" t="s">
        <x:v>114</x:v>
      </x:c>
      <x:c r="H80" s="1" t="s">
        <x:v>117</x:v>
      </x:c>
      <x:c r="I80" s="1" t="s">
        <x:v>111</x:v>
      </x:c>
      <x:c r="J80">
        <x:f t="shared" si="2"/>
        <x:v>0</x:v>
      </x:c>
      <x:c r="K80" t="n">
        <x:f>COUNTIFS(Grunnspill!$A:$A,Annex!B80)</x:f>
        <x:v>0</x:v>
      </x:c>
      <x:c r="L80" t="n">
        <x:f>COUNTIFS(Grunnspill!$A:$A,Annex!C80)</x:f>
        <x:v>0</x:v>
      </x:c>
      <x:c r="M80" t="n">
        <x:f>COUNTIFS(Grunnspill!$A:$A,Annex!D80)</x:f>
        <x:v>0</x:v>
      </x:c>
      <x:c r="N80" t="n">
        <x:f>COUNTIFS(Grunnspill!$A:$A,Annex!E80)</x:f>
        <x:v>0</x:v>
      </x:c>
      <x:c r="O80" t="n">
        <x:f>COUNTIFS(Grunnspill!$A:$A,Annex!F80)</x:f>
        <x:v>0</x:v>
      </x:c>
      <x:c r="P80" t="n">
        <x:f>COUNTIFS(Grunnspill!$A:$A,Annex!G80)</x:f>
        <x:v>0</x:v>
      </x:c>
      <x:c r="Q80" t="n">
        <x:f>COUNTIFS(Grunnspill!$A:$A,Annex!H80)</x:f>
        <x:v>0</x:v>
      </x:c>
      <x:c r="R80" t="n">
        <x:f>COUNTIFS(Grunnspill!$A:$A,Annex!I80)</x:f>
        <x:v>0</x:v>
      </x:c>
    </x:row>
    <x:row r="81">
      <x:c r="A81">
        <x:v>78</x:v>
      </x:c>
      <x:c r="B81" s="1" t="s">
        <x:v>115</x:v>
      </x:c>
      <x:c r="C81" s="1" t="s">
        <x:v>116</x:v>
      </x:c>
      <x:c r="D81" s="1" t="s">
        <x:v>124</x:v>
      </x:c>
      <x:c r="E81" s="1" t="s">
        <x:v>120</x:v>
      </x:c>
      <x:c r="F81" s="1" t="s">
        <x:v>112</x:v>
      </x:c>
      <x:c r="G81" s="1" t="s">
        <x:v>114</x:v>
      </x:c>
      <x:c r="H81" s="1" t="s">
        <x:v>111</x:v>
      </x:c>
      <x:c r="I81" s="1" t="s">
        <x:v>118</x:v>
      </x:c>
      <x:c r="J81">
        <x:f t="shared" si="2"/>
        <x:v>0</x:v>
      </x:c>
      <x:c r="K81" t="n">
        <x:f>COUNTIFS(Grunnspill!$A:$A,Annex!B81)</x:f>
        <x:v>0</x:v>
      </x:c>
      <x:c r="L81" t="n">
        <x:f>COUNTIFS(Grunnspill!$A:$A,Annex!C81)</x:f>
        <x:v>0</x:v>
      </x:c>
      <x:c r="M81" t="n">
        <x:f>COUNTIFS(Grunnspill!$A:$A,Annex!D81)</x:f>
        <x:v>0</x:v>
      </x:c>
      <x:c r="N81" t="n">
        <x:f>COUNTIFS(Grunnspill!$A:$A,Annex!E81)</x:f>
        <x:v>0</x:v>
      </x:c>
      <x:c r="O81" t="n">
        <x:f>COUNTIFS(Grunnspill!$A:$A,Annex!F81)</x:f>
        <x:v>0</x:v>
      </x:c>
      <x:c r="P81" t="n">
        <x:f>COUNTIFS(Grunnspill!$A:$A,Annex!G81)</x:f>
        <x:v>0</x:v>
      </x:c>
      <x:c r="Q81" t="n">
        <x:f>COUNTIFS(Grunnspill!$A:$A,Annex!H81)</x:f>
        <x:v>0</x:v>
      </x:c>
      <x:c r="R81" t="n">
        <x:f>COUNTIFS(Grunnspill!$A:$A,Annex!I81)</x:f>
        <x:v>0</x:v>
      </x:c>
    </x:row>
    <x:row r="82">
      <x:c r="A82">
        <x:v>79</x:v>
      </x:c>
      <x:c r="B82" s="1" t="s">
        <x:v>111</x:v>
      </x:c>
      <x:c r="C82" s="1" t="s">
        <x:v>116</x:v>
      </x:c>
      <x:c r="D82" s="1" t="s">
        <x:v>124</x:v>
      </x:c>
      <x:c r="E82" s="1" t="s">
        <x:v>120</x:v>
      </x:c>
      <x:c r="F82" s="1" t="s">
        <x:v>115</x:v>
      </x:c>
      <x:c r="G82" s="1" t="s">
        <x:v>114</x:v>
      </x:c>
      <x:c r="H82" s="1" t="s">
        <x:v>117</x:v>
      </x:c>
      <x:c r="I82" s="1" t="s">
        <x:v>113</x:v>
      </x:c>
      <x:c r="J82">
        <x:f t="shared" si="2"/>
        <x:v>0</x:v>
      </x:c>
      <x:c r="K82" t="n">
        <x:f>COUNTIFS(Grunnspill!$A:$A,Annex!B82)</x:f>
        <x:v>0</x:v>
      </x:c>
      <x:c r="L82" t="n">
        <x:f>COUNTIFS(Grunnspill!$A:$A,Annex!C82)</x:f>
        <x:v>0</x:v>
      </x:c>
      <x:c r="M82" t="n">
        <x:f>COUNTIFS(Grunnspill!$A:$A,Annex!D82)</x:f>
        <x:v>0</x:v>
      </x:c>
      <x:c r="N82" t="n">
        <x:f>COUNTIFS(Grunnspill!$A:$A,Annex!E82)</x:f>
        <x:v>0</x:v>
      </x:c>
      <x:c r="O82" t="n">
        <x:f>COUNTIFS(Grunnspill!$A:$A,Annex!F82)</x:f>
        <x:v>0</x:v>
      </x:c>
      <x:c r="P82" t="n">
        <x:f>COUNTIFS(Grunnspill!$A:$A,Annex!G82)</x:f>
        <x:v>0</x:v>
      </x:c>
      <x:c r="Q82" t="n">
        <x:f>COUNTIFS(Grunnspill!$A:$A,Annex!H82)</x:f>
        <x:v>0</x:v>
      </x:c>
      <x:c r="R82" t="n">
        <x:f>COUNTIFS(Grunnspill!$A:$A,Annex!I82)</x:f>
        <x:v>0</x:v>
      </x:c>
    </x:row>
    <x:row r="83">
      <x:c r="A83">
        <x:v>80</x:v>
      </x:c>
      <x:c r="B83" s="1" t="s">
        <x:v>111</x:v>
      </x:c>
      <x:c r="C83" s="1" t="s">
        <x:v>116</x:v>
      </x:c>
      <x:c r="D83" s="1" t="s">
        <x:v>124</x:v>
      </x:c>
      <x:c r="E83" s="1" t="s">
        <x:v>120</x:v>
      </x:c>
      <x:c r="F83" s="1" t="s">
        <x:v>115</x:v>
      </x:c>
      <x:c r="G83" s="1" t="s">
        <x:v>114</x:v>
      </x:c>
      <x:c r="H83" s="1" t="s">
        <x:v>113</x:v>
      </x:c>
      <x:c r="I83" s="1" t="s">
        <x:v>118</x:v>
      </x:c>
      <x:c r="J83">
        <x:f t="shared" si="2"/>
        <x:v>0</x:v>
      </x:c>
      <x:c r="K83" t="n">
        <x:f>COUNTIFS(Grunnspill!$A:$A,Annex!B83)</x:f>
        <x:v>0</x:v>
      </x:c>
      <x:c r="L83" t="n">
        <x:f>COUNTIFS(Grunnspill!$A:$A,Annex!C83)</x:f>
        <x:v>0</x:v>
      </x:c>
      <x:c r="M83" t="n">
        <x:f>COUNTIFS(Grunnspill!$A:$A,Annex!D83)</x:f>
        <x:v>0</x:v>
      </x:c>
      <x:c r="N83" t="n">
        <x:f>COUNTIFS(Grunnspill!$A:$A,Annex!E83)</x:f>
        <x:v>0</x:v>
      </x:c>
      <x:c r="O83" t="n">
        <x:f>COUNTIFS(Grunnspill!$A:$A,Annex!F83)</x:f>
        <x:v>0</x:v>
      </x:c>
      <x:c r="P83" t="n">
        <x:f>COUNTIFS(Grunnspill!$A:$A,Annex!G83)</x:f>
        <x:v>0</x:v>
      </x:c>
      <x:c r="Q83" t="n">
        <x:f>COUNTIFS(Grunnspill!$A:$A,Annex!H83)</x:f>
        <x:v>0</x:v>
      </x:c>
      <x:c r="R83" t="n">
        <x:f>COUNTIFS(Grunnspill!$A:$A,Annex!I83)</x:f>
        <x:v>0</x:v>
      </x:c>
    </x:row>
    <x:row r="84">
      <x:c r="A84">
        <x:v>81</x:v>
      </x:c>
      <x:c r="B84" s="1" t="s">
        <x:v>115</x:v>
      </x:c>
      <x:c r="C84" s="1" t="s">
        <x:v>116</x:v>
      </x:c>
      <x:c r="D84" s="1" t="s">
        <x:v>124</x:v>
      </x:c>
      <x:c r="E84" s="1" t="s">
        <x:v>120</x:v>
      </x:c>
      <x:c r="F84" s="1" t="s">
        <x:v>112</x:v>
      </x:c>
      <x:c r="G84" s="1" t="s">
        <x:v>114</x:v>
      </x:c>
      <x:c r="H84" s="1" t="s">
        <x:v>111</x:v>
      </x:c>
      <x:c r="I84" s="1" t="s">
        <x:v>113</x:v>
      </x:c>
      <x:c r="J84">
        <x:f t="shared" si="2"/>
        <x:v>0</x:v>
      </x:c>
      <x:c r="K84" t="n">
        <x:f>COUNTIFS(Grunnspill!$A:$A,Annex!B84)</x:f>
        <x:v>0</x:v>
      </x:c>
      <x:c r="L84" t="n">
        <x:f>COUNTIFS(Grunnspill!$A:$A,Annex!C84)</x:f>
        <x:v>0</x:v>
      </x:c>
      <x:c r="M84" t="n">
        <x:f>COUNTIFS(Grunnspill!$A:$A,Annex!D84)</x:f>
        <x:v>0</x:v>
      </x:c>
      <x:c r="N84" t="n">
        <x:f>COUNTIFS(Grunnspill!$A:$A,Annex!E84)</x:f>
        <x:v>0</x:v>
      </x:c>
      <x:c r="O84" t="n">
        <x:f>COUNTIFS(Grunnspill!$A:$A,Annex!F84)</x:f>
        <x:v>0</x:v>
      </x:c>
      <x:c r="P84" t="n">
        <x:f>COUNTIFS(Grunnspill!$A:$A,Annex!G84)</x:f>
        <x:v>0</x:v>
      </x:c>
      <x:c r="Q84" t="n">
        <x:f>COUNTIFS(Grunnspill!$A:$A,Annex!H84)</x:f>
        <x:v>0</x:v>
      </x:c>
      <x:c r="R84" t="n">
        <x:f>COUNTIFS(Grunnspill!$A:$A,Annex!I84)</x:f>
        <x:v>0</x:v>
      </x:c>
    </x:row>
    <x:row r="85">
      <x:c r="A85">
        <x:v>82</x:v>
      </x:c>
      <x:c r="B85" s="1" t="s">
        <x:v>115</x:v>
      </x:c>
      <x:c r="C85" s="1" t="s">
        <x:v>112</x:v>
      </x:c>
      <x:c r="D85" s="1" t="s">
        <x:v>124</x:v>
      </x:c>
      <x:c r="E85" s="1" t="s">
        <x:v>121</x:v>
      </x:c>
      <x:c r="F85" s="1" t="s">
        <x:v>113</x:v>
      </x:c>
      <x:c r="G85" s="1" t="s">
        <x:v>116</x:v>
      </x:c>
      <x:c r="H85" s="1" t="s">
        <x:v>117</x:v>
      </x:c>
      <x:c r="I85" s="1" t="s">
        <x:v>118</x:v>
      </x:c>
      <x:c r="J85">
        <x:f t="shared" si="2"/>
        <x:v>0</x:v>
      </x:c>
      <x:c r="K85" t="n">
        <x:f>COUNTIFS(Grunnspill!$A:$A,Annex!B85)</x:f>
        <x:v>0</x:v>
      </x:c>
      <x:c r="L85" t="n">
        <x:f>COUNTIFS(Grunnspill!$A:$A,Annex!C85)</x:f>
        <x:v>0</x:v>
      </x:c>
      <x:c r="M85" t="n">
        <x:f>COUNTIFS(Grunnspill!$A:$A,Annex!D85)</x:f>
        <x:v>0</x:v>
      </x:c>
      <x:c r="N85" t="n">
        <x:f>COUNTIFS(Grunnspill!$A:$A,Annex!E85)</x:f>
        <x:v>0</x:v>
      </x:c>
      <x:c r="O85" t="n">
        <x:f>COUNTIFS(Grunnspill!$A:$A,Annex!F85)</x:f>
        <x:v>0</x:v>
      </x:c>
      <x:c r="P85" t="n">
        <x:f>COUNTIFS(Grunnspill!$A:$A,Annex!G85)</x:f>
        <x:v>0</x:v>
      </x:c>
      <x:c r="Q85" t="n">
        <x:f>COUNTIFS(Grunnspill!$A:$A,Annex!H85)</x:f>
        <x:v>0</x:v>
      </x:c>
      <x:c r="R85" t="n">
        <x:f>COUNTIFS(Grunnspill!$A:$A,Annex!I85)</x:f>
        <x:v>0</x:v>
      </x:c>
    </x:row>
    <x:row r="86">
      <x:c r="A86">
        <x:v>83</x:v>
      </x:c>
      <x:c r="B86" s="1" t="s">
        <x:v>115</x:v>
      </x:c>
      <x:c r="C86" s="1" t="s">
        <x:v>112</x:v>
      </x:c>
      <x:c r="D86" s="1" t="s">
        <x:v>124</x:v>
      </x:c>
      <x:c r="E86" s="1" t="s">
        <x:v>121</x:v>
      </x:c>
      <x:c r="F86" s="1" t="s">
        <x:v>113</x:v>
      </x:c>
      <x:c r="G86" s="1" t="s">
        <x:v>114</x:v>
      </x:c>
      <x:c r="H86" s="1" t="s">
        <x:v>117</x:v>
      </x:c>
      <x:c r="I86" s="1" t="s">
        <x:v>118</x:v>
      </x:c>
      <x:c r="J86" t="n">
        <x:f t="shared" ref="J86:J149" si="3">SUM(K86:R86)</x:f>
        <x:v>0</x:v>
      </x:c>
      <x:c r="K86" t="n">
        <x:f>COUNTIFS(Grunnspill!$A:$A,Annex!B86)</x:f>
        <x:v>0</x:v>
      </x:c>
      <x:c r="L86" t="n">
        <x:f>COUNTIFS(Grunnspill!$A:$A,Annex!C86)</x:f>
        <x:v>0</x:v>
      </x:c>
      <x:c r="M86" t="n">
        <x:f>COUNTIFS(Grunnspill!$A:$A,Annex!D86)</x:f>
        <x:v>0</x:v>
      </x:c>
      <x:c r="N86" t="n">
        <x:f>COUNTIFS(Grunnspill!$A:$A,Annex!E86)</x:f>
        <x:v>0</x:v>
      </x:c>
      <x:c r="O86" t="n">
        <x:f>COUNTIFS(Grunnspill!$A:$A,Annex!F86)</x:f>
        <x:v>0</x:v>
      </x:c>
      <x:c r="P86" t="n">
        <x:f>COUNTIFS(Grunnspill!$A:$A,Annex!G86)</x:f>
        <x:v>0</x:v>
      </x:c>
      <x:c r="Q86" t="n">
        <x:f>COUNTIFS(Grunnspill!$A:$A,Annex!H86)</x:f>
        <x:v>0</x:v>
      </x:c>
      <x:c r="R86" t="n">
        <x:f>COUNTIFS(Grunnspill!$A:$A,Annex!I86)</x:f>
        <x:v>0</x:v>
      </x:c>
    </x:row>
    <x:row r="87">
      <x:c r="A87">
        <x:v>84</x:v>
      </x:c>
      <x:c r="B87" s="1" t="s">
        <x:v>113</x:v>
      </x:c>
      <x:c r="C87" s="1" t="s">
        <x:v>116</x:v>
      </x:c>
      <x:c r="D87" s="1" t="s">
        <x:v>124</x:v>
      </x:c>
      <x:c r="E87" s="1" t="s">
        <x:v>121</x:v>
      </x:c>
      <x:c r="F87" s="1" t="s">
        <x:v>112</x:v>
      </x:c>
      <x:c r="G87" s="1" t="s">
        <x:v>114</x:v>
      </x:c>
      <x:c r="H87" s="1" t="s">
        <x:v>117</x:v>
      </x:c>
      <x:c r="I87" s="1" t="s">
        <x:v>118</x:v>
      </x:c>
      <x:c r="J87">
        <x:f t="shared" si="3"/>
        <x:v>0</x:v>
      </x:c>
      <x:c r="K87" t="n">
        <x:f>COUNTIFS(Grunnspill!$A:$A,Annex!B87)</x:f>
        <x:v>0</x:v>
      </x:c>
      <x:c r="L87" t="n">
        <x:f>COUNTIFS(Grunnspill!$A:$A,Annex!C87)</x:f>
        <x:v>0</x:v>
      </x:c>
      <x:c r="M87" t="n">
        <x:f>COUNTIFS(Grunnspill!$A:$A,Annex!D87)</x:f>
        <x:v>0</x:v>
      </x:c>
      <x:c r="N87" t="n">
        <x:f>COUNTIFS(Grunnspill!$A:$A,Annex!E87)</x:f>
        <x:v>0</x:v>
      </x:c>
      <x:c r="O87" t="n">
        <x:f>COUNTIFS(Grunnspill!$A:$A,Annex!F87)</x:f>
        <x:v>0</x:v>
      </x:c>
      <x:c r="P87" t="n">
        <x:f>COUNTIFS(Grunnspill!$A:$A,Annex!G87)</x:f>
        <x:v>0</x:v>
      </x:c>
      <x:c r="Q87" t="n">
        <x:f>COUNTIFS(Grunnspill!$A:$A,Annex!H87)</x:f>
        <x:v>0</x:v>
      </x:c>
      <x:c r="R87" t="n">
        <x:f>COUNTIFS(Grunnspill!$A:$A,Annex!I87)</x:f>
        <x:v>0</x:v>
      </x:c>
    </x:row>
    <x:row r="88">
      <x:c r="A88">
        <x:v>85</x:v>
      </x:c>
      <x:c r="B88" s="1" t="s">
        <x:v>115</x:v>
      </x:c>
      <x:c r="C88" s="1" t="s">
        <x:v>116</x:v>
      </x:c>
      <x:c r="D88" s="1" t="s">
        <x:v>124</x:v>
      </x:c>
      <x:c r="E88" s="1" t="s">
        <x:v>121</x:v>
      </x:c>
      <x:c r="F88" s="1" t="s">
        <x:v>112</x:v>
      </x:c>
      <x:c r="G88" s="1" t="s">
        <x:v>114</x:v>
      </x:c>
      <x:c r="H88" s="1" t="s">
        <x:v>117</x:v>
      </x:c>
      <x:c r="I88" s="1" t="s">
        <x:v>118</x:v>
      </x:c>
      <x:c r="J88">
        <x:f t="shared" si="3"/>
        <x:v>0</x:v>
      </x:c>
      <x:c r="K88" t="n">
        <x:f>COUNTIFS(Grunnspill!$A:$A,Annex!B88)</x:f>
        <x:v>0</x:v>
      </x:c>
      <x:c r="L88" t="n">
        <x:f>COUNTIFS(Grunnspill!$A:$A,Annex!C88)</x:f>
        <x:v>0</x:v>
      </x:c>
      <x:c r="M88" t="n">
        <x:f>COUNTIFS(Grunnspill!$A:$A,Annex!D88)</x:f>
        <x:v>0</x:v>
      </x:c>
      <x:c r="N88" t="n">
        <x:f>COUNTIFS(Grunnspill!$A:$A,Annex!E88)</x:f>
        <x:v>0</x:v>
      </x:c>
      <x:c r="O88" t="n">
        <x:f>COUNTIFS(Grunnspill!$A:$A,Annex!F88)</x:f>
        <x:v>0</x:v>
      </x:c>
      <x:c r="P88" t="n">
        <x:f>COUNTIFS(Grunnspill!$A:$A,Annex!G88)</x:f>
        <x:v>0</x:v>
      </x:c>
      <x:c r="Q88" t="n">
        <x:f>COUNTIFS(Grunnspill!$A:$A,Annex!H88)</x:f>
        <x:v>0</x:v>
      </x:c>
      <x:c r="R88" t="n">
        <x:f>COUNTIFS(Grunnspill!$A:$A,Annex!I88)</x:f>
        <x:v>0</x:v>
      </x:c>
    </x:row>
    <x:row r="89">
      <x:c r="A89">
        <x:v>86</x:v>
      </x:c>
      <x:c r="B89" s="1" t="s">
        <x:v>115</x:v>
      </x:c>
      <x:c r="C89" s="1" t="s">
        <x:v>116</x:v>
      </x:c>
      <x:c r="D89" s="1" t="s">
        <x:v>124</x:v>
      </x:c>
      <x:c r="E89" s="1" t="s">
        <x:v>121</x:v>
      </x:c>
      <x:c r="F89" s="1" t="s">
        <x:v>113</x:v>
      </x:c>
      <x:c r="G89" s="1" t="s">
        <x:v>114</x:v>
      </x:c>
      <x:c r="H89" s="1" t="s">
        <x:v>117</x:v>
      </x:c>
      <x:c r="I89" s="1" t="s">
        <x:v>118</x:v>
      </x:c>
      <x:c r="J89">
        <x:f t="shared" si="3"/>
        <x:v>0</x:v>
      </x:c>
      <x:c r="K89" t="n">
        <x:f>COUNTIFS(Grunnspill!$A:$A,Annex!B89)</x:f>
        <x:v>0</x:v>
      </x:c>
      <x:c r="L89" t="n">
        <x:f>COUNTIFS(Grunnspill!$A:$A,Annex!C89)</x:f>
        <x:v>0</x:v>
      </x:c>
      <x:c r="M89" t="n">
        <x:f>COUNTIFS(Grunnspill!$A:$A,Annex!D89)</x:f>
        <x:v>0</x:v>
      </x:c>
      <x:c r="N89" t="n">
        <x:f>COUNTIFS(Grunnspill!$A:$A,Annex!E89)</x:f>
        <x:v>0</x:v>
      </x:c>
      <x:c r="O89" t="n">
        <x:f>COUNTIFS(Grunnspill!$A:$A,Annex!F89)</x:f>
        <x:v>0</x:v>
      </x:c>
      <x:c r="P89" t="n">
        <x:f>COUNTIFS(Grunnspill!$A:$A,Annex!G89)</x:f>
        <x:v>0</x:v>
      </x:c>
      <x:c r="Q89" t="n">
        <x:f>COUNTIFS(Grunnspill!$A:$A,Annex!H89)</x:f>
        <x:v>0</x:v>
      </x:c>
      <x:c r="R89" t="n">
        <x:f>COUNTIFS(Grunnspill!$A:$A,Annex!I89)</x:f>
        <x:v>0</x:v>
      </x:c>
    </x:row>
    <x:row r="90">
      <x:c r="A90">
        <x:v>87</x:v>
      </x:c>
      <x:c r="B90" s="1" t="s">
        <x:v>115</x:v>
      </x:c>
      <x:c r="C90" s="1" t="s">
        <x:v>116</x:v>
      </x:c>
      <x:c r="D90" s="1" t="s">
        <x:v>124</x:v>
      </x:c>
      <x:c r="E90" s="1" t="s">
        <x:v>121</x:v>
      </x:c>
      <x:c r="F90" s="1" t="s">
        <x:v>112</x:v>
      </x:c>
      <x:c r="G90" s="1" t="s">
        <x:v>114</x:v>
      </x:c>
      <x:c r="H90" s="1" t="s">
        <x:v>117</x:v>
      </x:c>
      <x:c r="I90" s="1" t="s">
        <x:v>113</x:v>
      </x:c>
      <x:c r="J90">
        <x:f t="shared" si="3"/>
        <x:v>0</x:v>
      </x:c>
      <x:c r="K90" t="n">
        <x:f>COUNTIFS(Grunnspill!$A:$A,Annex!B90)</x:f>
        <x:v>0</x:v>
      </x:c>
      <x:c r="L90" t="n">
        <x:f>COUNTIFS(Grunnspill!$A:$A,Annex!C90)</x:f>
        <x:v>0</x:v>
      </x:c>
      <x:c r="M90" t="n">
        <x:f>COUNTIFS(Grunnspill!$A:$A,Annex!D90)</x:f>
        <x:v>0</x:v>
      </x:c>
      <x:c r="N90" t="n">
        <x:f>COUNTIFS(Grunnspill!$A:$A,Annex!E90)</x:f>
        <x:v>0</x:v>
      </x:c>
      <x:c r="O90" t="n">
        <x:f>COUNTIFS(Grunnspill!$A:$A,Annex!F90)</x:f>
        <x:v>0</x:v>
      </x:c>
      <x:c r="P90" t="n">
        <x:f>COUNTIFS(Grunnspill!$A:$A,Annex!G90)</x:f>
        <x:v>0</x:v>
      </x:c>
      <x:c r="Q90" t="n">
        <x:f>COUNTIFS(Grunnspill!$A:$A,Annex!H90)</x:f>
        <x:v>0</x:v>
      </x:c>
      <x:c r="R90" t="n">
        <x:f>COUNTIFS(Grunnspill!$A:$A,Annex!I90)</x:f>
        <x:v>0</x:v>
      </x:c>
    </x:row>
    <x:row r="91">
      <x:c r="A91">
        <x:v>88</x:v>
      </x:c>
      <x:c r="B91" s="1" t="s">
        <x:v>115</x:v>
      </x:c>
      <x:c r="C91" s="1" t="s">
        <x:v>116</x:v>
      </x:c>
      <x:c r="D91" s="1" t="s">
        <x:v>124</x:v>
      </x:c>
      <x:c r="E91" s="1" t="s">
        <x:v>121</x:v>
      </x:c>
      <x:c r="F91" s="1" t="s">
        <x:v>112</x:v>
      </x:c>
      <x:c r="G91" s="1" t="s">
        <x:v>114</x:v>
      </x:c>
      <x:c r="H91" s="1" t="s">
        <x:v>113</x:v>
      </x:c>
      <x:c r="I91" s="1" t="s">
        <x:v>118</x:v>
      </x:c>
      <x:c r="J91">
        <x:f t="shared" si="3"/>
        <x:v>0</x:v>
      </x:c>
      <x:c r="K91" t="n">
        <x:f>COUNTIFS(Grunnspill!$A:$A,Annex!B91)</x:f>
        <x:v>0</x:v>
      </x:c>
      <x:c r="L91" t="n">
        <x:f>COUNTIFS(Grunnspill!$A:$A,Annex!C91)</x:f>
        <x:v>0</x:v>
      </x:c>
      <x:c r="M91" t="n">
        <x:f>COUNTIFS(Grunnspill!$A:$A,Annex!D91)</x:f>
        <x:v>0</x:v>
      </x:c>
      <x:c r="N91" t="n">
        <x:f>COUNTIFS(Grunnspill!$A:$A,Annex!E91)</x:f>
        <x:v>0</x:v>
      </x:c>
      <x:c r="O91" t="n">
        <x:f>COUNTIFS(Grunnspill!$A:$A,Annex!F91)</x:f>
        <x:v>0</x:v>
      </x:c>
      <x:c r="P91" t="n">
        <x:f>COUNTIFS(Grunnspill!$A:$A,Annex!G91)</x:f>
        <x:v>0</x:v>
      </x:c>
      <x:c r="Q91" t="n">
        <x:f>COUNTIFS(Grunnspill!$A:$A,Annex!H91)</x:f>
        <x:v>0</x:v>
      </x:c>
      <x:c r="R91" t="n">
        <x:f>COUNTIFS(Grunnspill!$A:$A,Annex!I91)</x:f>
        <x:v>0</x:v>
      </x:c>
    </x:row>
    <x:row r="92">
      <x:c r="A92">
        <x:v>89</x:v>
      </x:c>
      <x:c r="B92" s="1" t="s">
        <x:v>111</x:v>
      </x:c>
      <x:c r="C92" s="1" t="s">
        <x:v>112</x:v>
      </x:c>
      <x:c r="D92" s="1" t="s">
        <x:v>124</x:v>
      </x:c>
      <x:c r="E92" s="1" t="s">
        <x:v>121</x:v>
      </x:c>
      <x:c r="F92" s="1" t="s">
        <x:v>113</x:v>
      </x:c>
      <x:c r="G92" s="1" t="s">
        <x:v>115</x:v>
      </x:c>
      <x:c r="H92" s="1" t="s">
        <x:v>117</x:v>
      </x:c>
      <x:c r="I92" s="1" t="s">
        <x:v>118</x:v>
      </x:c>
      <x:c r="J92">
        <x:f t="shared" si="3"/>
        <x:v>0</x:v>
      </x:c>
      <x:c r="K92" t="n">
        <x:f>COUNTIFS(Grunnspill!$A:$A,Annex!B92)</x:f>
        <x:v>0</x:v>
      </x:c>
      <x:c r="L92" t="n">
        <x:f>COUNTIFS(Grunnspill!$A:$A,Annex!C92)</x:f>
        <x:v>0</x:v>
      </x:c>
      <x:c r="M92" t="n">
        <x:f>COUNTIFS(Grunnspill!$A:$A,Annex!D92)</x:f>
        <x:v>0</x:v>
      </x:c>
      <x:c r="N92" t="n">
        <x:f>COUNTIFS(Grunnspill!$A:$A,Annex!E92)</x:f>
        <x:v>0</x:v>
      </x:c>
      <x:c r="O92" t="n">
        <x:f>COUNTIFS(Grunnspill!$A:$A,Annex!F92)</x:f>
        <x:v>0</x:v>
      </x:c>
      <x:c r="P92" t="n">
        <x:f>COUNTIFS(Grunnspill!$A:$A,Annex!G92)</x:f>
        <x:v>0</x:v>
      </x:c>
      <x:c r="Q92" t="n">
        <x:f>COUNTIFS(Grunnspill!$A:$A,Annex!H92)</x:f>
        <x:v>0</x:v>
      </x:c>
      <x:c r="R92" t="n">
        <x:f>COUNTIFS(Grunnspill!$A:$A,Annex!I92)</x:f>
        <x:v>0</x:v>
      </x:c>
    </x:row>
    <x:row r="93">
      <x:c r="A93">
        <x:v>90</x:v>
      </x:c>
      <x:c r="B93" s="1" t="s">
        <x:v>111</x:v>
      </x:c>
      <x:c r="C93" s="1" t="s">
        <x:v>112</x:v>
      </x:c>
      <x:c r="D93" s="1" t="s">
        <x:v>124</x:v>
      </x:c>
      <x:c r="E93" s="1" t="s">
        <x:v>121</x:v>
      </x:c>
      <x:c r="F93" s="1" t="s">
        <x:v>113</x:v>
      </x:c>
      <x:c r="G93" s="1" t="s">
        <x:v>116</x:v>
      </x:c>
      <x:c r="H93" s="1" t="s">
        <x:v>117</x:v>
      </x:c>
      <x:c r="I93" s="1" t="s">
        <x:v>118</x:v>
      </x:c>
      <x:c r="J93">
        <x:f t="shared" si="3"/>
        <x:v>0</x:v>
      </x:c>
      <x:c r="K93" t="n">
        <x:f>COUNTIFS(Grunnspill!$A:$A,Annex!B93)</x:f>
        <x:v>0</x:v>
      </x:c>
      <x:c r="L93" t="n">
        <x:f>COUNTIFS(Grunnspill!$A:$A,Annex!C93)</x:f>
        <x:v>0</x:v>
      </x:c>
      <x:c r="M93" t="n">
        <x:f>COUNTIFS(Grunnspill!$A:$A,Annex!D93)</x:f>
        <x:v>0</x:v>
      </x:c>
      <x:c r="N93" t="n">
        <x:f>COUNTIFS(Grunnspill!$A:$A,Annex!E93)</x:f>
        <x:v>0</x:v>
      </x:c>
      <x:c r="O93" t="n">
        <x:f>COUNTIFS(Grunnspill!$A:$A,Annex!F93)</x:f>
        <x:v>0</x:v>
      </x:c>
      <x:c r="P93" t="n">
        <x:f>COUNTIFS(Grunnspill!$A:$A,Annex!G93)</x:f>
        <x:v>0</x:v>
      </x:c>
      <x:c r="Q93" t="n">
        <x:f>COUNTIFS(Grunnspill!$A:$A,Annex!H93)</x:f>
        <x:v>0</x:v>
      </x:c>
      <x:c r="R93" t="n">
        <x:f>COUNTIFS(Grunnspill!$A:$A,Annex!I93)</x:f>
        <x:v>0</x:v>
      </x:c>
    </x:row>
    <x:row r="94">
      <x:c r="A94">
        <x:v>91</x:v>
      </x:c>
      <x:c r="B94" s="1" t="s">
        <x:v>111</x:v>
      </x:c>
      <x:c r="C94" s="1" t="s">
        <x:v>112</x:v>
      </x:c>
      <x:c r="D94" s="1" t="s">
        <x:v>124</x:v>
      </x:c>
      <x:c r="E94" s="1" t="s">
        <x:v>121</x:v>
      </x:c>
      <x:c r="F94" s="1" t="s">
        <x:v>115</x:v>
      </x:c>
      <x:c r="G94" s="1" t="s">
        <x:v>116</x:v>
      </x:c>
      <x:c r="H94" s="1" t="s">
        <x:v>117</x:v>
      </x:c>
      <x:c r="I94" s="1" t="s">
        <x:v>118</x:v>
      </x:c>
      <x:c r="J94">
        <x:f t="shared" si="3"/>
        <x:v>0</x:v>
      </x:c>
      <x:c r="K94" t="n">
        <x:f>COUNTIFS(Grunnspill!$A:$A,Annex!B94)</x:f>
        <x:v>0</x:v>
      </x:c>
      <x:c r="L94" t="n">
        <x:f>COUNTIFS(Grunnspill!$A:$A,Annex!C94)</x:f>
        <x:v>0</x:v>
      </x:c>
      <x:c r="M94" t="n">
        <x:f>COUNTIFS(Grunnspill!$A:$A,Annex!D94)</x:f>
        <x:v>0</x:v>
      </x:c>
      <x:c r="N94" t="n">
        <x:f>COUNTIFS(Grunnspill!$A:$A,Annex!E94)</x:f>
        <x:v>0</x:v>
      </x:c>
      <x:c r="O94" t="n">
        <x:f>COUNTIFS(Grunnspill!$A:$A,Annex!F94)</x:f>
        <x:v>0</x:v>
      </x:c>
      <x:c r="P94" t="n">
        <x:f>COUNTIFS(Grunnspill!$A:$A,Annex!G94)</x:f>
        <x:v>0</x:v>
      </x:c>
      <x:c r="Q94" t="n">
        <x:f>COUNTIFS(Grunnspill!$A:$A,Annex!H94)</x:f>
        <x:v>0</x:v>
      </x:c>
      <x:c r="R94" t="n">
        <x:f>COUNTIFS(Grunnspill!$A:$A,Annex!I94)</x:f>
        <x:v>0</x:v>
      </x:c>
    </x:row>
    <x:row r="95">
      <x:c r="A95">
        <x:v>92</x:v>
      </x:c>
      <x:c r="B95" s="1" t="s">
        <x:v>111</x:v>
      </x:c>
      <x:c r="C95" s="1" t="s">
        <x:v>116</x:v>
      </x:c>
      <x:c r="D95" s="1" t="s">
        <x:v>124</x:v>
      </x:c>
      <x:c r="E95" s="1" t="s">
        <x:v>121</x:v>
      </x:c>
      <x:c r="F95" s="1" t="s">
        <x:v>113</x:v>
      </x:c>
      <x:c r="G95" s="1" t="s">
        <x:v>115</x:v>
      </x:c>
      <x:c r="H95" s="1" t="s">
        <x:v>117</x:v>
      </x:c>
      <x:c r="I95" s="1" t="s">
        <x:v>118</x:v>
      </x:c>
      <x:c r="J95">
        <x:f t="shared" si="3"/>
        <x:v>0</x:v>
      </x:c>
      <x:c r="K95" t="n">
        <x:f>COUNTIFS(Grunnspill!$A:$A,Annex!B95)</x:f>
        <x:v>0</x:v>
      </x:c>
      <x:c r="L95" t="n">
        <x:f>COUNTIFS(Grunnspill!$A:$A,Annex!C95)</x:f>
        <x:v>0</x:v>
      </x:c>
      <x:c r="M95" t="n">
        <x:f>COUNTIFS(Grunnspill!$A:$A,Annex!D95)</x:f>
        <x:v>0</x:v>
      </x:c>
      <x:c r="N95" t="n">
        <x:f>COUNTIFS(Grunnspill!$A:$A,Annex!E95)</x:f>
        <x:v>0</x:v>
      </x:c>
      <x:c r="O95" t="n">
        <x:f>COUNTIFS(Grunnspill!$A:$A,Annex!F95)</x:f>
        <x:v>0</x:v>
      </x:c>
      <x:c r="P95" t="n">
        <x:f>COUNTIFS(Grunnspill!$A:$A,Annex!G95)</x:f>
        <x:v>0</x:v>
      </x:c>
      <x:c r="Q95" t="n">
        <x:f>COUNTIFS(Grunnspill!$A:$A,Annex!H95)</x:f>
        <x:v>0</x:v>
      </x:c>
      <x:c r="R95" t="n">
        <x:f>COUNTIFS(Grunnspill!$A:$A,Annex!I95)</x:f>
        <x:v>0</x:v>
      </x:c>
    </x:row>
    <x:row r="96">
      <x:c r="A96">
        <x:v>93</x:v>
      </x:c>
      <x:c r="B96" s="1" t="s">
        <x:v>111</x:v>
      </x:c>
      <x:c r="C96" s="1" t="s">
        <x:v>112</x:v>
      </x:c>
      <x:c r="D96" s="1" t="s">
        <x:v>124</x:v>
      </x:c>
      <x:c r="E96" s="1" t="s">
        <x:v>121</x:v>
      </x:c>
      <x:c r="F96" s="1" t="s">
        <x:v>115</x:v>
      </x:c>
      <x:c r="G96" s="1" t="s">
        <x:v>116</x:v>
      </x:c>
      <x:c r="H96" s="1" t="s">
        <x:v>117</x:v>
      </x:c>
      <x:c r="I96" s="1" t="s">
        <x:v>113</x:v>
      </x:c>
      <x:c r="J96">
        <x:f t="shared" si="3"/>
        <x:v>0</x:v>
      </x:c>
      <x:c r="K96" t="n">
        <x:f>COUNTIFS(Grunnspill!$A:$A,Annex!B96)</x:f>
        <x:v>0</x:v>
      </x:c>
      <x:c r="L96" t="n">
        <x:f>COUNTIFS(Grunnspill!$A:$A,Annex!C96)</x:f>
        <x:v>0</x:v>
      </x:c>
      <x:c r="M96" t="n">
        <x:f>COUNTIFS(Grunnspill!$A:$A,Annex!D96)</x:f>
        <x:v>0</x:v>
      </x:c>
      <x:c r="N96" t="n">
        <x:f>COUNTIFS(Grunnspill!$A:$A,Annex!E96)</x:f>
        <x:v>0</x:v>
      </x:c>
      <x:c r="O96" t="n">
        <x:f>COUNTIFS(Grunnspill!$A:$A,Annex!F96)</x:f>
        <x:v>0</x:v>
      </x:c>
      <x:c r="P96" t="n">
        <x:f>COUNTIFS(Grunnspill!$A:$A,Annex!G96)</x:f>
        <x:v>0</x:v>
      </x:c>
      <x:c r="Q96" t="n">
        <x:f>COUNTIFS(Grunnspill!$A:$A,Annex!H96)</x:f>
        <x:v>0</x:v>
      </x:c>
      <x:c r="R96" t="n">
        <x:f>COUNTIFS(Grunnspill!$A:$A,Annex!I96)</x:f>
        <x:v>0</x:v>
      </x:c>
    </x:row>
    <x:row r="97">
      <x:c r="A97">
        <x:v>94</x:v>
      </x:c>
      <x:c r="B97" s="1" t="s">
        <x:v>111</x:v>
      </x:c>
      <x:c r="C97" s="1" t="s">
        <x:v>112</x:v>
      </x:c>
      <x:c r="D97" s="1" t="s">
        <x:v>124</x:v>
      </x:c>
      <x:c r="E97" s="1" t="s">
        <x:v>121</x:v>
      </x:c>
      <x:c r="F97" s="1" t="s">
        <x:v>115</x:v>
      </x:c>
      <x:c r="G97" s="1" t="s">
        <x:v>116</x:v>
      </x:c>
      <x:c r="H97" s="1" t="s">
        <x:v>113</x:v>
      </x:c>
      <x:c r="I97" s="1" t="s">
        <x:v>118</x:v>
      </x:c>
      <x:c r="J97">
        <x:f t="shared" si="3"/>
        <x:v>0</x:v>
      </x:c>
      <x:c r="K97" t="n">
        <x:f>COUNTIFS(Grunnspill!$A:$A,Annex!B97)</x:f>
        <x:v>0</x:v>
      </x:c>
      <x:c r="L97" t="n">
        <x:f>COUNTIFS(Grunnspill!$A:$A,Annex!C97)</x:f>
        <x:v>0</x:v>
      </x:c>
      <x:c r="M97" t="n">
        <x:f>COUNTIFS(Grunnspill!$A:$A,Annex!D97)</x:f>
        <x:v>0</x:v>
      </x:c>
      <x:c r="N97" t="n">
        <x:f>COUNTIFS(Grunnspill!$A:$A,Annex!E97)</x:f>
        <x:v>0</x:v>
      </x:c>
      <x:c r="O97" t="n">
        <x:f>COUNTIFS(Grunnspill!$A:$A,Annex!F97)</x:f>
        <x:v>0</x:v>
      </x:c>
      <x:c r="P97" t="n">
        <x:f>COUNTIFS(Grunnspill!$A:$A,Annex!G97)</x:f>
        <x:v>0</x:v>
      </x:c>
      <x:c r="Q97" t="n">
        <x:f>COUNTIFS(Grunnspill!$A:$A,Annex!H97)</x:f>
        <x:v>0</x:v>
      </x:c>
      <x:c r="R97" t="n">
        <x:f>COUNTIFS(Grunnspill!$A:$A,Annex!I97)</x:f>
        <x:v>0</x:v>
      </x:c>
    </x:row>
    <x:row r="98">
      <x:c r="A98">
        <x:v>95</x:v>
      </x:c>
      <x:c r="B98" s="1" t="s">
        <x:v>111</x:v>
      </x:c>
      <x:c r="C98" s="1" t="s">
        <x:v>112</x:v>
      </x:c>
      <x:c r="D98" s="1" t="s">
        <x:v>124</x:v>
      </x:c>
      <x:c r="E98" s="1" t="s">
        <x:v>121</x:v>
      </x:c>
      <x:c r="F98" s="1" t="s">
        <x:v>113</x:v>
      </x:c>
      <x:c r="G98" s="1" t="s">
        <x:v>114</x:v>
      </x:c>
      <x:c r="H98" s="1" t="s">
        <x:v>117</x:v>
      </x:c>
      <x:c r="I98" s="1" t="s">
        <x:v>118</x:v>
      </x:c>
      <x:c r="J98">
        <x:f t="shared" si="3"/>
        <x:v>0</x:v>
      </x:c>
      <x:c r="K98" t="n">
        <x:f>COUNTIFS(Grunnspill!$A:$A,Annex!B98)</x:f>
        <x:v>0</x:v>
      </x:c>
      <x:c r="L98" t="n">
        <x:f>COUNTIFS(Grunnspill!$A:$A,Annex!C98)</x:f>
        <x:v>0</x:v>
      </x:c>
      <x:c r="M98" t="n">
        <x:f>COUNTIFS(Grunnspill!$A:$A,Annex!D98)</x:f>
        <x:v>0</x:v>
      </x:c>
      <x:c r="N98" t="n">
        <x:f>COUNTIFS(Grunnspill!$A:$A,Annex!E98)</x:f>
        <x:v>0</x:v>
      </x:c>
      <x:c r="O98" t="n">
        <x:f>COUNTIFS(Grunnspill!$A:$A,Annex!F98)</x:f>
        <x:v>0</x:v>
      </x:c>
      <x:c r="P98" t="n">
        <x:f>COUNTIFS(Grunnspill!$A:$A,Annex!G98)</x:f>
        <x:v>0</x:v>
      </x:c>
      <x:c r="Q98" t="n">
        <x:f>COUNTIFS(Grunnspill!$A:$A,Annex!H98)</x:f>
        <x:v>0</x:v>
      </x:c>
      <x:c r="R98" t="n">
        <x:f>COUNTIFS(Grunnspill!$A:$A,Annex!I98)</x:f>
        <x:v>0</x:v>
      </x:c>
    </x:row>
    <x:row r="99">
      <x:c r="A99">
        <x:v>96</x:v>
      </x:c>
      <x:c r="B99" s="1" t="s">
        <x:v>111</x:v>
      </x:c>
      <x:c r="C99" s="1" t="s">
        <x:v>112</x:v>
      </x:c>
      <x:c r="D99" s="1" t="s">
        <x:v>124</x:v>
      </x:c>
      <x:c r="E99" s="1" t="s">
        <x:v>121</x:v>
      </x:c>
      <x:c r="F99" s="1" t="s">
        <x:v>115</x:v>
      </x:c>
      <x:c r="G99" s="1" t="s">
        <x:v>114</x:v>
      </x:c>
      <x:c r="H99" s="1" t="s">
        <x:v>117</x:v>
      </x:c>
      <x:c r="I99" s="1" t="s">
        <x:v>118</x:v>
      </x:c>
      <x:c r="J99">
        <x:f t="shared" si="3"/>
        <x:v>0</x:v>
      </x:c>
      <x:c r="K99" t="n">
        <x:f>COUNTIFS(Grunnspill!$A:$A,Annex!B99)</x:f>
        <x:v>0</x:v>
      </x:c>
      <x:c r="L99" t="n">
        <x:f>COUNTIFS(Grunnspill!$A:$A,Annex!C99)</x:f>
        <x:v>0</x:v>
      </x:c>
      <x:c r="M99" t="n">
        <x:f>COUNTIFS(Grunnspill!$A:$A,Annex!D99)</x:f>
        <x:v>0</x:v>
      </x:c>
      <x:c r="N99" t="n">
        <x:f>COUNTIFS(Grunnspill!$A:$A,Annex!E99)</x:f>
        <x:v>0</x:v>
      </x:c>
      <x:c r="O99" t="n">
        <x:f>COUNTIFS(Grunnspill!$A:$A,Annex!F99)</x:f>
        <x:v>0</x:v>
      </x:c>
      <x:c r="P99" t="n">
        <x:f>COUNTIFS(Grunnspill!$A:$A,Annex!G99)</x:f>
        <x:v>0</x:v>
      </x:c>
      <x:c r="Q99" t="n">
        <x:f>COUNTIFS(Grunnspill!$A:$A,Annex!H99)</x:f>
        <x:v>0</x:v>
      </x:c>
      <x:c r="R99" t="n">
        <x:f>COUNTIFS(Grunnspill!$A:$A,Annex!I99)</x:f>
        <x:v>0</x:v>
      </x:c>
    </x:row>
    <x:row r="100">
      <x:c r="A100">
        <x:v>97</x:v>
      </x:c>
      <x:c r="B100" s="1" t="s">
        <x:v>111</x:v>
      </x:c>
      <x:c r="C100" s="1" t="s">
        <x:v>113</x:v>
      </x:c>
      <x:c r="D100" s="1" t="s">
        <x:v>124</x:v>
      </x:c>
      <x:c r="E100" s="1" t="s">
        <x:v>121</x:v>
      </x:c>
      <x:c r="F100" s="1" t="s">
        <x:v>115</x:v>
      </x:c>
      <x:c r="G100" s="1" t="s">
        <x:v>114</x:v>
      </x:c>
      <x:c r="H100" s="1" t="s">
        <x:v>117</x:v>
      </x:c>
      <x:c r="I100" s="1" t="s">
        <x:v>118</x:v>
      </x:c>
      <x:c r="J100">
        <x:f t="shared" si="3"/>
        <x:v>0</x:v>
      </x:c>
      <x:c r="K100" t="n">
        <x:f>COUNTIFS(Grunnspill!$A:$A,Annex!B100)</x:f>
        <x:v>0</x:v>
      </x:c>
      <x:c r="L100" t="n">
        <x:f>COUNTIFS(Grunnspill!$A:$A,Annex!C100)</x:f>
        <x:v>0</x:v>
      </x:c>
      <x:c r="M100" t="n">
        <x:f>COUNTIFS(Grunnspill!$A:$A,Annex!D100)</x:f>
        <x:v>0</x:v>
      </x:c>
      <x:c r="N100" t="n">
        <x:f>COUNTIFS(Grunnspill!$A:$A,Annex!E100)</x:f>
        <x:v>0</x:v>
      </x:c>
      <x:c r="O100" t="n">
        <x:f>COUNTIFS(Grunnspill!$A:$A,Annex!F100)</x:f>
        <x:v>0</x:v>
      </x:c>
      <x:c r="P100" t="n">
        <x:f>COUNTIFS(Grunnspill!$A:$A,Annex!G100)</x:f>
        <x:v>0</x:v>
      </x:c>
      <x:c r="Q100" t="n">
        <x:f>COUNTIFS(Grunnspill!$A:$A,Annex!H100)</x:f>
        <x:v>0</x:v>
      </x:c>
      <x:c r="R100" t="n">
        <x:f>COUNTIFS(Grunnspill!$A:$A,Annex!I100)</x:f>
        <x:v>0</x:v>
      </x:c>
    </x:row>
    <x:row r="101">
      <x:c r="A101">
        <x:v>98</x:v>
      </x:c>
      <x:c r="B101" s="1" t="s">
        <x:v>111</x:v>
      </x:c>
      <x:c r="C101" s="1" t="s">
        <x:v>112</x:v>
      </x:c>
      <x:c r="D101" s="1" t="s">
        <x:v>124</x:v>
      </x:c>
      <x:c r="E101" s="1" t="s">
        <x:v>121</x:v>
      </x:c>
      <x:c r="F101" s="1" t="s">
        <x:v>115</x:v>
      </x:c>
      <x:c r="G101" s="1" t="s">
        <x:v>114</x:v>
      </x:c>
      <x:c r="H101" s="1" t="s">
        <x:v>117</x:v>
      </x:c>
      <x:c r="I101" s="1" t="s">
        <x:v>113</x:v>
      </x:c>
      <x:c r="J101">
        <x:f t="shared" si="3"/>
        <x:v>0</x:v>
      </x:c>
      <x:c r="K101" t="n">
        <x:f>COUNTIFS(Grunnspill!$A:$A,Annex!B101)</x:f>
        <x:v>0</x:v>
      </x:c>
      <x:c r="L101" t="n">
        <x:f>COUNTIFS(Grunnspill!$A:$A,Annex!C101)</x:f>
        <x:v>0</x:v>
      </x:c>
      <x:c r="M101" t="n">
        <x:f>COUNTIFS(Grunnspill!$A:$A,Annex!D101)</x:f>
        <x:v>0</x:v>
      </x:c>
      <x:c r="N101" t="n">
        <x:f>COUNTIFS(Grunnspill!$A:$A,Annex!E101)</x:f>
        <x:v>0</x:v>
      </x:c>
      <x:c r="O101" t="n">
        <x:f>COUNTIFS(Grunnspill!$A:$A,Annex!F101)</x:f>
        <x:v>0</x:v>
      </x:c>
      <x:c r="P101" t="n">
        <x:f>COUNTIFS(Grunnspill!$A:$A,Annex!G101)</x:f>
        <x:v>0</x:v>
      </x:c>
      <x:c r="Q101" t="n">
        <x:f>COUNTIFS(Grunnspill!$A:$A,Annex!H101)</x:f>
        <x:v>0</x:v>
      </x:c>
      <x:c r="R101" t="n">
        <x:f>COUNTIFS(Grunnspill!$A:$A,Annex!I101)</x:f>
        <x:v>0</x:v>
      </x:c>
    </x:row>
    <x:row r="102">
      <x:c r="A102">
        <x:v>99</x:v>
      </x:c>
      <x:c r="B102" s="1" t="s">
        <x:v>111</x:v>
      </x:c>
      <x:c r="C102" s="1" t="s">
        <x:v>112</x:v>
      </x:c>
      <x:c r="D102" s="1" t="s">
        <x:v>124</x:v>
      </x:c>
      <x:c r="E102" s="1" t="s">
        <x:v>121</x:v>
      </x:c>
      <x:c r="F102" s="1" t="s">
        <x:v>115</x:v>
      </x:c>
      <x:c r="G102" s="1" t="s">
        <x:v>114</x:v>
      </x:c>
      <x:c r="H102" s="1" t="s">
        <x:v>113</x:v>
      </x:c>
      <x:c r="I102" s="1" t="s">
        <x:v>118</x:v>
      </x:c>
      <x:c r="J102">
        <x:f t="shared" si="3"/>
        <x:v>0</x:v>
      </x:c>
      <x:c r="K102" t="n">
        <x:f>COUNTIFS(Grunnspill!$A:$A,Annex!B102)</x:f>
        <x:v>0</x:v>
      </x:c>
      <x:c r="L102" t="n">
        <x:f>COUNTIFS(Grunnspill!$A:$A,Annex!C102)</x:f>
        <x:v>0</x:v>
      </x:c>
      <x:c r="M102" t="n">
        <x:f>COUNTIFS(Grunnspill!$A:$A,Annex!D102)</x:f>
        <x:v>0</x:v>
      </x:c>
      <x:c r="N102" t="n">
        <x:f>COUNTIFS(Grunnspill!$A:$A,Annex!E102)</x:f>
        <x:v>0</x:v>
      </x:c>
      <x:c r="O102" t="n">
        <x:f>COUNTIFS(Grunnspill!$A:$A,Annex!F102)</x:f>
        <x:v>0</x:v>
      </x:c>
      <x:c r="P102" t="n">
        <x:f>COUNTIFS(Grunnspill!$A:$A,Annex!G102)</x:f>
        <x:v>0</x:v>
      </x:c>
      <x:c r="Q102" t="n">
        <x:f>COUNTIFS(Grunnspill!$A:$A,Annex!H102)</x:f>
        <x:v>0</x:v>
      </x:c>
      <x:c r="R102" t="n">
        <x:f>COUNTIFS(Grunnspill!$A:$A,Annex!I102)</x:f>
        <x:v>0</x:v>
      </x:c>
    </x:row>
    <x:row r="103">
      <x:c r="A103">
        <x:v>100</x:v>
      </x:c>
      <x:c r="B103" s="1" t="s">
        <x:v>111</x:v>
      </x:c>
      <x:c r="C103" s="1" t="s">
        <x:v>116</x:v>
      </x:c>
      <x:c r="D103" s="1" t="s">
        <x:v>124</x:v>
      </x:c>
      <x:c r="E103" s="1" t="s">
        <x:v>121</x:v>
      </x:c>
      <x:c r="F103" s="1" t="s">
        <x:v>112</x:v>
      </x:c>
      <x:c r="G103" s="1" t="s">
        <x:v>114</x:v>
      </x:c>
      <x:c r="H103" s="1" t="s">
        <x:v>117</x:v>
      </x:c>
      <x:c r="I103" s="1" t="s">
        <x:v>118</x:v>
      </x:c>
      <x:c r="J103">
        <x:f t="shared" si="3"/>
        <x:v>0</x:v>
      </x:c>
      <x:c r="K103" t="n">
        <x:f>COUNTIFS(Grunnspill!$A:$A,Annex!B103)</x:f>
        <x:v>0</x:v>
      </x:c>
      <x:c r="L103" t="n">
        <x:f>COUNTIFS(Grunnspill!$A:$A,Annex!C103)</x:f>
        <x:v>0</x:v>
      </x:c>
      <x:c r="M103" t="n">
        <x:f>COUNTIFS(Grunnspill!$A:$A,Annex!D103)</x:f>
        <x:v>0</x:v>
      </x:c>
      <x:c r="N103" t="n">
        <x:f>COUNTIFS(Grunnspill!$A:$A,Annex!E103)</x:f>
        <x:v>0</x:v>
      </x:c>
      <x:c r="O103" t="n">
        <x:f>COUNTIFS(Grunnspill!$A:$A,Annex!F103)</x:f>
        <x:v>0</x:v>
      </x:c>
      <x:c r="P103" t="n">
        <x:f>COUNTIFS(Grunnspill!$A:$A,Annex!G103)</x:f>
        <x:v>0</x:v>
      </x:c>
      <x:c r="Q103" t="n">
        <x:f>COUNTIFS(Grunnspill!$A:$A,Annex!H103)</x:f>
        <x:v>0</x:v>
      </x:c>
      <x:c r="R103" t="n">
        <x:f>COUNTIFS(Grunnspill!$A:$A,Annex!I103)</x:f>
        <x:v>0</x:v>
      </x:c>
    </x:row>
    <x:row r="104">
      <x:c r="A104">
        <x:v>101</x:v>
      </x:c>
      <x:c r="B104" s="1" t="s">
        <x:v>111</x:v>
      </x:c>
      <x:c r="C104" s="1" t="s">
        <x:v>116</x:v>
      </x:c>
      <x:c r="D104" s="1" t="s">
        <x:v>124</x:v>
      </x:c>
      <x:c r="E104" s="1" t="s">
        <x:v>121</x:v>
      </x:c>
      <x:c r="F104" s="1" t="s">
        <x:v>113</x:v>
      </x:c>
      <x:c r="G104" s="1" t="s">
        <x:v>114</x:v>
      </x:c>
      <x:c r="H104" s="1" t="s">
        <x:v>117</x:v>
      </x:c>
      <x:c r="I104" s="1" t="s">
        <x:v>118</x:v>
      </x:c>
      <x:c r="J104">
        <x:f t="shared" si="3"/>
        <x:v>0</x:v>
      </x:c>
      <x:c r="K104" t="n">
        <x:f>COUNTIFS(Grunnspill!$A:$A,Annex!B104)</x:f>
        <x:v>0</x:v>
      </x:c>
      <x:c r="L104" t="n">
        <x:f>COUNTIFS(Grunnspill!$A:$A,Annex!C104)</x:f>
        <x:v>0</x:v>
      </x:c>
      <x:c r="M104" t="n">
        <x:f>COUNTIFS(Grunnspill!$A:$A,Annex!D104)</x:f>
        <x:v>0</x:v>
      </x:c>
      <x:c r="N104" t="n">
        <x:f>COUNTIFS(Grunnspill!$A:$A,Annex!E104)</x:f>
        <x:v>0</x:v>
      </x:c>
      <x:c r="O104" t="n">
        <x:f>COUNTIFS(Grunnspill!$A:$A,Annex!F104)</x:f>
        <x:v>0</x:v>
      </x:c>
      <x:c r="P104" t="n">
        <x:f>COUNTIFS(Grunnspill!$A:$A,Annex!G104)</x:f>
        <x:v>0</x:v>
      </x:c>
      <x:c r="Q104" t="n">
        <x:f>COUNTIFS(Grunnspill!$A:$A,Annex!H104)</x:f>
        <x:v>0</x:v>
      </x:c>
      <x:c r="R104" t="n">
        <x:f>COUNTIFS(Grunnspill!$A:$A,Annex!I104)</x:f>
        <x:v>0</x:v>
      </x:c>
    </x:row>
    <x:row r="105">
      <x:c r="A105">
        <x:v>102</x:v>
      </x:c>
      <x:c r="B105" s="1" t="s">
        <x:v>111</x:v>
      </x:c>
      <x:c r="C105" s="1" t="s">
        <x:v>116</x:v>
      </x:c>
      <x:c r="D105" s="1" t="s">
        <x:v>124</x:v>
      </x:c>
      <x:c r="E105" s="1" t="s">
        <x:v>121</x:v>
      </x:c>
      <x:c r="F105" s="1" t="s">
        <x:v>112</x:v>
      </x:c>
      <x:c r="G105" s="1" t="s">
        <x:v>114</x:v>
      </x:c>
      <x:c r="H105" s="1" t="s">
        <x:v>117</x:v>
      </x:c>
      <x:c r="I105" s="1" t="s">
        <x:v>113</x:v>
      </x:c>
      <x:c r="J105">
        <x:f t="shared" si="3"/>
        <x:v>0</x:v>
      </x:c>
      <x:c r="K105" t="n">
        <x:f>COUNTIFS(Grunnspill!$A:$A,Annex!B105)</x:f>
        <x:v>0</x:v>
      </x:c>
      <x:c r="L105" t="n">
        <x:f>COUNTIFS(Grunnspill!$A:$A,Annex!C105)</x:f>
        <x:v>0</x:v>
      </x:c>
      <x:c r="M105" t="n">
        <x:f>COUNTIFS(Grunnspill!$A:$A,Annex!D105)</x:f>
        <x:v>0</x:v>
      </x:c>
      <x:c r="N105" t="n">
        <x:f>COUNTIFS(Grunnspill!$A:$A,Annex!E105)</x:f>
        <x:v>0</x:v>
      </x:c>
      <x:c r="O105" t="n">
        <x:f>COUNTIFS(Grunnspill!$A:$A,Annex!F105)</x:f>
        <x:v>0</x:v>
      </x:c>
      <x:c r="P105" t="n">
        <x:f>COUNTIFS(Grunnspill!$A:$A,Annex!G105)</x:f>
        <x:v>0</x:v>
      </x:c>
      <x:c r="Q105" t="n">
        <x:f>COUNTIFS(Grunnspill!$A:$A,Annex!H105)</x:f>
        <x:v>0</x:v>
      </x:c>
      <x:c r="R105" t="n">
        <x:f>COUNTIFS(Grunnspill!$A:$A,Annex!I105)</x:f>
        <x:v>0</x:v>
      </x:c>
    </x:row>
    <x:row r="106">
      <x:c r="A106">
        <x:v>103</x:v>
      </x:c>
      <x:c r="B106" s="1" t="s">
        <x:v>111</x:v>
      </x:c>
      <x:c r="C106" s="1" t="s">
        <x:v>116</x:v>
      </x:c>
      <x:c r="D106" s="1" t="s">
        <x:v>124</x:v>
      </x:c>
      <x:c r="E106" s="1" t="s">
        <x:v>121</x:v>
      </x:c>
      <x:c r="F106" s="1" t="s">
        <x:v>112</x:v>
      </x:c>
      <x:c r="G106" s="1" t="s">
        <x:v>114</x:v>
      </x:c>
      <x:c r="H106" s="1" t="s">
        <x:v>113</x:v>
      </x:c>
      <x:c r="I106" s="1" t="s">
        <x:v>118</x:v>
      </x:c>
      <x:c r="J106">
        <x:f t="shared" si="3"/>
        <x:v>0</x:v>
      </x:c>
      <x:c r="K106" t="n">
        <x:f>COUNTIFS(Grunnspill!$A:$A,Annex!B106)</x:f>
        <x:v>0</x:v>
      </x:c>
      <x:c r="L106" t="n">
        <x:f>COUNTIFS(Grunnspill!$A:$A,Annex!C106)</x:f>
        <x:v>0</x:v>
      </x:c>
      <x:c r="M106" t="n">
        <x:f>COUNTIFS(Grunnspill!$A:$A,Annex!D106)</x:f>
        <x:v>0</x:v>
      </x:c>
      <x:c r="N106" t="n">
        <x:f>COUNTIFS(Grunnspill!$A:$A,Annex!E106)</x:f>
        <x:v>0</x:v>
      </x:c>
      <x:c r="O106" t="n">
        <x:f>COUNTIFS(Grunnspill!$A:$A,Annex!F106)</x:f>
        <x:v>0</x:v>
      </x:c>
      <x:c r="P106" t="n">
        <x:f>COUNTIFS(Grunnspill!$A:$A,Annex!G106)</x:f>
        <x:v>0</x:v>
      </x:c>
      <x:c r="Q106" t="n">
        <x:f>COUNTIFS(Grunnspill!$A:$A,Annex!H106)</x:f>
        <x:v>0</x:v>
      </x:c>
      <x:c r="R106" t="n">
        <x:f>COUNTIFS(Grunnspill!$A:$A,Annex!I106)</x:f>
        <x:v>0</x:v>
      </x:c>
    </x:row>
    <x:row r="107">
      <x:c r="A107">
        <x:v>104</x:v>
      </x:c>
      <x:c r="B107" s="1" t="s">
        <x:v>111</x:v>
      </x:c>
      <x:c r="C107" s="1" t="s">
        <x:v>116</x:v>
      </x:c>
      <x:c r="D107" s="1" t="s">
        <x:v>124</x:v>
      </x:c>
      <x:c r="E107" s="1" t="s">
        <x:v>121</x:v>
      </x:c>
      <x:c r="F107" s="1" t="s">
        <x:v>115</x:v>
      </x:c>
      <x:c r="G107" s="1" t="s">
        <x:v>114</x:v>
      </x:c>
      <x:c r="H107" s="1" t="s">
        <x:v>117</x:v>
      </x:c>
      <x:c r="I107" s="1" t="s">
        <x:v>118</x:v>
      </x:c>
      <x:c r="J107">
        <x:f t="shared" si="3"/>
        <x:v>0</x:v>
      </x:c>
      <x:c r="K107" t="n">
        <x:f>COUNTIFS(Grunnspill!$A:$A,Annex!B107)</x:f>
        <x:v>0</x:v>
      </x:c>
      <x:c r="L107" t="n">
        <x:f>COUNTIFS(Grunnspill!$A:$A,Annex!C107)</x:f>
        <x:v>0</x:v>
      </x:c>
      <x:c r="M107" t="n">
        <x:f>COUNTIFS(Grunnspill!$A:$A,Annex!D107)</x:f>
        <x:v>0</x:v>
      </x:c>
      <x:c r="N107" t="n">
        <x:f>COUNTIFS(Grunnspill!$A:$A,Annex!E107)</x:f>
        <x:v>0</x:v>
      </x:c>
      <x:c r="O107" t="n">
        <x:f>COUNTIFS(Grunnspill!$A:$A,Annex!F107)</x:f>
        <x:v>0</x:v>
      </x:c>
      <x:c r="P107" t="n">
        <x:f>COUNTIFS(Grunnspill!$A:$A,Annex!G107)</x:f>
        <x:v>0</x:v>
      </x:c>
      <x:c r="Q107" t="n">
        <x:f>COUNTIFS(Grunnspill!$A:$A,Annex!H107)</x:f>
        <x:v>0</x:v>
      </x:c>
      <x:c r="R107" t="n">
        <x:f>COUNTIFS(Grunnspill!$A:$A,Annex!I107)</x:f>
        <x:v>0</x:v>
      </x:c>
    </x:row>
    <x:row r="108">
      <x:c r="A108">
        <x:v>105</x:v>
      </x:c>
      <x:c r="B108" s="1" t="s">
        <x:v>115</x:v>
      </x:c>
      <x:c r="C108" s="1" t="s">
        <x:v>116</x:v>
      </x:c>
      <x:c r="D108" s="1" t="s">
        <x:v>124</x:v>
      </x:c>
      <x:c r="E108" s="1" t="s">
        <x:v>121</x:v>
      </x:c>
      <x:c r="F108" s="1" t="s">
        <x:v>112</x:v>
      </x:c>
      <x:c r="G108" s="1" t="s">
        <x:v>114</x:v>
      </x:c>
      <x:c r="H108" s="1" t="s">
        <x:v>117</x:v>
      </x:c>
      <x:c r="I108" s="1" t="s">
        <x:v>111</x:v>
      </x:c>
      <x:c r="J108">
        <x:f t="shared" si="3"/>
        <x:v>0</x:v>
      </x:c>
      <x:c r="K108" t="n">
        <x:f>COUNTIFS(Grunnspill!$A:$A,Annex!B108)</x:f>
        <x:v>0</x:v>
      </x:c>
      <x:c r="L108" t="n">
        <x:f>COUNTIFS(Grunnspill!$A:$A,Annex!C108)</x:f>
        <x:v>0</x:v>
      </x:c>
      <x:c r="M108" t="n">
        <x:f>COUNTIFS(Grunnspill!$A:$A,Annex!D108)</x:f>
        <x:v>0</x:v>
      </x:c>
      <x:c r="N108" t="n">
        <x:f>COUNTIFS(Grunnspill!$A:$A,Annex!E108)</x:f>
        <x:v>0</x:v>
      </x:c>
      <x:c r="O108" t="n">
        <x:f>COUNTIFS(Grunnspill!$A:$A,Annex!F108)</x:f>
        <x:v>0</x:v>
      </x:c>
      <x:c r="P108" t="n">
        <x:f>COUNTIFS(Grunnspill!$A:$A,Annex!G108)</x:f>
        <x:v>0</x:v>
      </x:c>
      <x:c r="Q108" t="n">
        <x:f>COUNTIFS(Grunnspill!$A:$A,Annex!H108)</x:f>
        <x:v>0</x:v>
      </x:c>
      <x:c r="R108" t="n">
        <x:f>COUNTIFS(Grunnspill!$A:$A,Annex!I108)</x:f>
        <x:v>0</x:v>
      </x:c>
    </x:row>
    <x:row r="109">
      <x:c r="A109">
        <x:v>106</x:v>
      </x:c>
      <x:c r="B109" s="1" t="s">
        <x:v>115</x:v>
      </x:c>
      <x:c r="C109" s="1" t="s">
        <x:v>116</x:v>
      </x:c>
      <x:c r="D109" s="1" t="s">
        <x:v>124</x:v>
      </x:c>
      <x:c r="E109" s="1" t="s">
        <x:v>121</x:v>
      </x:c>
      <x:c r="F109" s="1" t="s">
        <x:v>112</x:v>
      </x:c>
      <x:c r="G109" s="1" t="s">
        <x:v>114</x:v>
      </x:c>
      <x:c r="H109" s="1" t="s">
        <x:v>111</x:v>
      </x:c>
      <x:c r="I109" s="1" t="s">
        <x:v>118</x:v>
      </x:c>
      <x:c r="J109">
        <x:f t="shared" si="3"/>
        <x:v>0</x:v>
      </x:c>
      <x:c r="K109" t="n">
        <x:f>COUNTIFS(Grunnspill!$A:$A,Annex!B109)</x:f>
        <x:v>0</x:v>
      </x:c>
      <x:c r="L109" t="n">
        <x:f>COUNTIFS(Grunnspill!$A:$A,Annex!C109)</x:f>
        <x:v>0</x:v>
      </x:c>
      <x:c r="M109" t="n">
        <x:f>COUNTIFS(Grunnspill!$A:$A,Annex!D109)</x:f>
        <x:v>0</x:v>
      </x:c>
      <x:c r="N109" t="n">
        <x:f>COUNTIFS(Grunnspill!$A:$A,Annex!E109)</x:f>
        <x:v>0</x:v>
      </x:c>
      <x:c r="O109" t="n">
        <x:f>COUNTIFS(Grunnspill!$A:$A,Annex!F109)</x:f>
        <x:v>0</x:v>
      </x:c>
      <x:c r="P109" t="n">
        <x:f>COUNTIFS(Grunnspill!$A:$A,Annex!G109)</x:f>
        <x:v>0</x:v>
      </x:c>
      <x:c r="Q109" t="n">
        <x:f>COUNTIFS(Grunnspill!$A:$A,Annex!H109)</x:f>
        <x:v>0</x:v>
      </x:c>
      <x:c r="R109" t="n">
        <x:f>COUNTIFS(Grunnspill!$A:$A,Annex!I109)</x:f>
        <x:v>0</x:v>
      </x:c>
    </x:row>
    <x:row r="110">
      <x:c r="A110">
        <x:v>107</x:v>
      </x:c>
      <x:c r="B110" s="1" t="s">
        <x:v>111</x:v>
      </x:c>
      <x:c r="C110" s="1" t="s">
        <x:v>116</x:v>
      </x:c>
      <x:c r="D110" s="1" t="s">
        <x:v>124</x:v>
      </x:c>
      <x:c r="E110" s="1" t="s">
        <x:v>121</x:v>
      </x:c>
      <x:c r="F110" s="1" t="s">
        <x:v>115</x:v>
      </x:c>
      <x:c r="G110" s="1" t="s">
        <x:v>114</x:v>
      </x:c>
      <x:c r="H110" s="1" t="s">
        <x:v>117</x:v>
      </x:c>
      <x:c r="I110" s="1" t="s">
        <x:v>113</x:v>
      </x:c>
      <x:c r="J110">
        <x:f t="shared" si="3"/>
        <x:v>0</x:v>
      </x:c>
      <x:c r="K110" t="n">
        <x:f>COUNTIFS(Grunnspill!$A:$A,Annex!B110)</x:f>
        <x:v>0</x:v>
      </x:c>
      <x:c r="L110" t="n">
        <x:f>COUNTIFS(Grunnspill!$A:$A,Annex!C110)</x:f>
        <x:v>0</x:v>
      </x:c>
      <x:c r="M110" t="n">
        <x:f>COUNTIFS(Grunnspill!$A:$A,Annex!D110)</x:f>
        <x:v>0</x:v>
      </x:c>
      <x:c r="N110" t="n">
        <x:f>COUNTIFS(Grunnspill!$A:$A,Annex!E110)</x:f>
        <x:v>0</x:v>
      </x:c>
      <x:c r="O110" t="n">
        <x:f>COUNTIFS(Grunnspill!$A:$A,Annex!F110)</x:f>
        <x:v>0</x:v>
      </x:c>
      <x:c r="P110" t="n">
        <x:f>COUNTIFS(Grunnspill!$A:$A,Annex!G110)</x:f>
        <x:v>0</x:v>
      </x:c>
      <x:c r="Q110" t="n">
        <x:f>COUNTIFS(Grunnspill!$A:$A,Annex!H110)</x:f>
        <x:v>0</x:v>
      </x:c>
      <x:c r="R110" t="n">
        <x:f>COUNTIFS(Grunnspill!$A:$A,Annex!I110)</x:f>
        <x:v>0</x:v>
      </x:c>
    </x:row>
    <x:row r="111">
      <x:c r="A111">
        <x:v>108</x:v>
      </x:c>
      <x:c r="B111" s="1" t="s">
        <x:v>111</x:v>
      </x:c>
      <x:c r="C111" s="1" t="s">
        <x:v>116</x:v>
      </x:c>
      <x:c r="D111" s="1" t="s">
        <x:v>124</x:v>
      </x:c>
      <x:c r="E111" s="1" t="s">
        <x:v>121</x:v>
      </x:c>
      <x:c r="F111" s="1" t="s">
        <x:v>115</x:v>
      </x:c>
      <x:c r="G111" s="1" t="s">
        <x:v>114</x:v>
      </x:c>
      <x:c r="H111" s="1" t="s">
        <x:v>113</x:v>
      </x:c>
      <x:c r="I111" s="1" t="s">
        <x:v>118</x:v>
      </x:c>
      <x:c r="J111">
        <x:f t="shared" si="3"/>
        <x:v>0</x:v>
      </x:c>
      <x:c r="K111" t="n">
        <x:f>COUNTIFS(Grunnspill!$A:$A,Annex!B111)</x:f>
        <x:v>0</x:v>
      </x:c>
      <x:c r="L111" t="n">
        <x:f>COUNTIFS(Grunnspill!$A:$A,Annex!C111)</x:f>
        <x:v>0</x:v>
      </x:c>
      <x:c r="M111" t="n">
        <x:f>COUNTIFS(Grunnspill!$A:$A,Annex!D111)</x:f>
        <x:v>0</x:v>
      </x:c>
      <x:c r="N111" t="n">
        <x:f>COUNTIFS(Grunnspill!$A:$A,Annex!E111)</x:f>
        <x:v>0</x:v>
      </x:c>
      <x:c r="O111" t="n">
        <x:f>COUNTIFS(Grunnspill!$A:$A,Annex!F111)</x:f>
        <x:v>0</x:v>
      </x:c>
      <x:c r="P111" t="n">
        <x:f>COUNTIFS(Grunnspill!$A:$A,Annex!G111)</x:f>
        <x:v>0</x:v>
      </x:c>
      <x:c r="Q111" t="n">
        <x:f>COUNTIFS(Grunnspill!$A:$A,Annex!H111)</x:f>
        <x:v>0</x:v>
      </x:c>
      <x:c r="R111" t="n">
        <x:f>COUNTIFS(Grunnspill!$A:$A,Annex!I111)</x:f>
        <x:v>0</x:v>
      </x:c>
    </x:row>
    <x:row r="112">
      <x:c r="A112">
        <x:v>109</x:v>
      </x:c>
      <x:c r="B112" s="1" t="s">
        <x:v>115</x:v>
      </x:c>
      <x:c r="C112" s="1" t="s">
        <x:v>116</x:v>
      </x:c>
      <x:c r="D112" s="1" t="s">
        <x:v>124</x:v>
      </x:c>
      <x:c r="E112" s="1" t="s">
        <x:v>121</x:v>
      </x:c>
      <x:c r="F112" s="1" t="s">
        <x:v>112</x:v>
      </x:c>
      <x:c r="G112" s="1" t="s">
        <x:v>114</x:v>
      </x:c>
      <x:c r="H112" s="1" t="s">
        <x:v>111</x:v>
      </x:c>
      <x:c r="I112" s="1" t="s">
        <x:v>113</x:v>
      </x:c>
      <x:c r="J112">
        <x:f t="shared" si="3"/>
        <x:v>0</x:v>
      </x:c>
      <x:c r="K112" t="n">
        <x:f>COUNTIFS(Grunnspill!$A:$A,Annex!B112)</x:f>
        <x:v>0</x:v>
      </x:c>
      <x:c r="L112" t="n">
        <x:f>COUNTIFS(Grunnspill!$A:$A,Annex!C112)</x:f>
        <x:v>0</x:v>
      </x:c>
      <x:c r="M112" t="n">
        <x:f>COUNTIFS(Grunnspill!$A:$A,Annex!D112)</x:f>
        <x:v>0</x:v>
      </x:c>
      <x:c r="N112" t="n">
        <x:f>COUNTIFS(Grunnspill!$A:$A,Annex!E112)</x:f>
        <x:v>0</x:v>
      </x:c>
      <x:c r="O112" t="n">
        <x:f>COUNTIFS(Grunnspill!$A:$A,Annex!F112)</x:f>
        <x:v>0</x:v>
      </x:c>
      <x:c r="P112" t="n">
        <x:f>COUNTIFS(Grunnspill!$A:$A,Annex!G112)</x:f>
        <x:v>0</x:v>
      </x:c>
      <x:c r="Q112" t="n">
        <x:f>COUNTIFS(Grunnspill!$A:$A,Annex!H112)</x:f>
        <x:v>0</x:v>
      </x:c>
      <x:c r="R112" t="n">
        <x:f>COUNTIFS(Grunnspill!$A:$A,Annex!I112)</x:f>
        <x:v>0</x:v>
      </x:c>
    </x:row>
    <x:row r="113">
      <x:c r="A113">
        <x:v>110</x:v>
      </x:c>
      <x:c r="B113" s="1" t="s">
        <x:v>115</x:v>
      </x:c>
      <x:c r="C113" s="1" t="s">
        <x:v>112</x:v>
      </x:c>
      <x:c r="D113" s="1" t="s">
        <x:v>124</x:v>
      </x:c>
      <x:c r="E113" s="1" t="s">
        <x:v>121</x:v>
      </x:c>
      <x:c r="F113" s="1" t="s">
        <x:v>113</x:v>
      </x:c>
      <x:c r="G113" s="1" t="s">
        <x:v>120</x:v>
      </x:c>
      <x:c r="H113" s="1" t="s">
        <x:v>117</x:v>
      </x:c>
      <x:c r="I113" s="1" t="s">
        <x:v>118</x:v>
      </x:c>
      <x:c r="J113">
        <x:f t="shared" si="3"/>
        <x:v>0</x:v>
      </x:c>
      <x:c r="K113" t="n">
        <x:f>COUNTIFS(Grunnspill!$A:$A,Annex!B113)</x:f>
        <x:v>0</x:v>
      </x:c>
      <x:c r="L113" t="n">
        <x:f>COUNTIFS(Grunnspill!$A:$A,Annex!C113)</x:f>
        <x:v>0</x:v>
      </x:c>
      <x:c r="M113" t="n">
        <x:f>COUNTIFS(Grunnspill!$A:$A,Annex!D113)</x:f>
        <x:v>0</x:v>
      </x:c>
      <x:c r="N113" t="n">
        <x:f>COUNTIFS(Grunnspill!$A:$A,Annex!E113)</x:f>
        <x:v>0</x:v>
      </x:c>
      <x:c r="O113" t="n">
        <x:f>COUNTIFS(Grunnspill!$A:$A,Annex!F113)</x:f>
        <x:v>0</x:v>
      </x:c>
      <x:c r="P113" t="n">
        <x:f>COUNTIFS(Grunnspill!$A:$A,Annex!G113)</x:f>
        <x:v>0</x:v>
      </x:c>
      <x:c r="Q113" t="n">
        <x:f>COUNTIFS(Grunnspill!$A:$A,Annex!H113)</x:f>
        <x:v>0</x:v>
      </x:c>
      <x:c r="R113" t="n">
        <x:f>COUNTIFS(Grunnspill!$A:$A,Annex!I113)</x:f>
        <x:v>0</x:v>
      </x:c>
    </x:row>
    <x:row r="114">
      <x:c r="A114">
        <x:v>111</x:v>
      </x:c>
      <x:c r="B114" s="1" t="s">
        <x:v>113</x:v>
      </x:c>
      <x:c r="C114" s="1" t="s">
        <x:v>116</x:v>
      </x:c>
      <x:c r="D114" s="1" t="s">
        <x:v>124</x:v>
      </x:c>
      <x:c r="E114" s="1" t="s">
        <x:v>121</x:v>
      </x:c>
      <x:c r="F114" s="1" t="s">
        <x:v>112</x:v>
      </x:c>
      <x:c r="G114" s="1" t="s">
        <x:v>120</x:v>
      </x:c>
      <x:c r="H114" s="1" t="s">
        <x:v>117</x:v>
      </x:c>
      <x:c r="I114" s="1" t="s">
        <x:v>118</x:v>
      </x:c>
      <x:c r="J114">
        <x:f t="shared" si="3"/>
        <x:v>0</x:v>
      </x:c>
      <x:c r="K114" t="n">
        <x:f>COUNTIFS(Grunnspill!$A:$A,Annex!B114)</x:f>
        <x:v>0</x:v>
      </x:c>
      <x:c r="L114" t="n">
        <x:f>COUNTIFS(Grunnspill!$A:$A,Annex!C114)</x:f>
        <x:v>0</x:v>
      </x:c>
      <x:c r="M114" t="n">
        <x:f>COUNTIFS(Grunnspill!$A:$A,Annex!D114)</x:f>
        <x:v>0</x:v>
      </x:c>
      <x:c r="N114" t="n">
        <x:f>COUNTIFS(Grunnspill!$A:$A,Annex!E114)</x:f>
        <x:v>0</x:v>
      </x:c>
      <x:c r="O114" t="n">
        <x:f>COUNTIFS(Grunnspill!$A:$A,Annex!F114)</x:f>
        <x:v>0</x:v>
      </x:c>
      <x:c r="P114" t="n">
        <x:f>COUNTIFS(Grunnspill!$A:$A,Annex!G114)</x:f>
        <x:v>0</x:v>
      </x:c>
      <x:c r="Q114" t="n">
        <x:f>COUNTIFS(Grunnspill!$A:$A,Annex!H114)</x:f>
        <x:v>0</x:v>
      </x:c>
      <x:c r="R114" t="n">
        <x:f>COUNTIFS(Grunnspill!$A:$A,Annex!I114)</x:f>
        <x:v>0</x:v>
      </x:c>
    </x:row>
    <x:row r="115">
      <x:c r="A115">
        <x:v>112</x:v>
      </x:c>
      <x:c r="B115" s="1" t="s">
        <x:v>115</x:v>
      </x:c>
      <x:c r="C115" s="1" t="s">
        <x:v>116</x:v>
      </x:c>
      <x:c r="D115" s="1" t="s">
        <x:v>124</x:v>
      </x:c>
      <x:c r="E115" s="1" t="s">
        <x:v>121</x:v>
      </x:c>
      <x:c r="F115" s="1" t="s">
        <x:v>112</x:v>
      </x:c>
      <x:c r="G115" s="1" t="s">
        <x:v>120</x:v>
      </x:c>
      <x:c r="H115" s="1" t="s">
        <x:v>117</x:v>
      </x:c>
      <x:c r="I115" s="1" t="s">
        <x:v>118</x:v>
      </x:c>
      <x:c r="J115">
        <x:f t="shared" si="3"/>
        <x:v>0</x:v>
      </x:c>
      <x:c r="K115" t="n">
        <x:f>COUNTIFS(Grunnspill!$A:$A,Annex!B115)</x:f>
        <x:v>0</x:v>
      </x:c>
      <x:c r="L115" t="n">
        <x:f>COUNTIFS(Grunnspill!$A:$A,Annex!C115)</x:f>
        <x:v>0</x:v>
      </x:c>
      <x:c r="M115" t="n">
        <x:f>COUNTIFS(Grunnspill!$A:$A,Annex!D115)</x:f>
        <x:v>0</x:v>
      </x:c>
      <x:c r="N115" t="n">
        <x:f>COUNTIFS(Grunnspill!$A:$A,Annex!E115)</x:f>
        <x:v>0</x:v>
      </x:c>
      <x:c r="O115" t="n">
        <x:f>COUNTIFS(Grunnspill!$A:$A,Annex!F115)</x:f>
        <x:v>0</x:v>
      </x:c>
      <x:c r="P115" t="n">
        <x:f>COUNTIFS(Grunnspill!$A:$A,Annex!G115)</x:f>
        <x:v>0</x:v>
      </x:c>
      <x:c r="Q115" t="n">
        <x:f>COUNTIFS(Grunnspill!$A:$A,Annex!H115)</x:f>
        <x:v>0</x:v>
      </x:c>
      <x:c r="R115" t="n">
        <x:f>COUNTIFS(Grunnspill!$A:$A,Annex!I115)</x:f>
        <x:v>0</x:v>
      </x:c>
    </x:row>
    <x:row r="116">
      <x:c r="A116">
        <x:v>113</x:v>
      </x:c>
      <x:c r="B116" s="1" t="s">
        <x:v>115</x:v>
      </x:c>
      <x:c r="C116" s="1" t="s">
        <x:v>116</x:v>
      </x:c>
      <x:c r="D116" s="1" t="s">
        <x:v>124</x:v>
      </x:c>
      <x:c r="E116" s="1" t="s">
        <x:v>121</x:v>
      </x:c>
      <x:c r="F116" s="1" t="s">
        <x:v>113</x:v>
      </x:c>
      <x:c r="G116" s="1" t="s">
        <x:v>120</x:v>
      </x:c>
      <x:c r="H116" s="1" t="s">
        <x:v>117</x:v>
      </x:c>
      <x:c r="I116" s="1" t="s">
        <x:v>118</x:v>
      </x:c>
      <x:c r="J116">
        <x:f t="shared" si="3"/>
        <x:v>0</x:v>
      </x:c>
      <x:c r="K116" t="n">
        <x:f>COUNTIFS(Grunnspill!$A:$A,Annex!B116)</x:f>
        <x:v>0</x:v>
      </x:c>
      <x:c r="L116" t="n">
        <x:f>COUNTIFS(Grunnspill!$A:$A,Annex!C116)</x:f>
        <x:v>0</x:v>
      </x:c>
      <x:c r="M116" t="n">
        <x:f>COUNTIFS(Grunnspill!$A:$A,Annex!D116)</x:f>
        <x:v>0</x:v>
      </x:c>
      <x:c r="N116" t="n">
        <x:f>COUNTIFS(Grunnspill!$A:$A,Annex!E116)</x:f>
        <x:v>0</x:v>
      </x:c>
      <x:c r="O116" t="n">
        <x:f>COUNTIFS(Grunnspill!$A:$A,Annex!F116)</x:f>
        <x:v>0</x:v>
      </x:c>
      <x:c r="P116" t="n">
        <x:f>COUNTIFS(Grunnspill!$A:$A,Annex!G116)</x:f>
        <x:v>0</x:v>
      </x:c>
      <x:c r="Q116" t="n">
        <x:f>COUNTIFS(Grunnspill!$A:$A,Annex!H116)</x:f>
        <x:v>0</x:v>
      </x:c>
      <x:c r="R116" t="n">
        <x:f>COUNTIFS(Grunnspill!$A:$A,Annex!I116)</x:f>
        <x:v>0</x:v>
      </x:c>
    </x:row>
    <x:row r="117">
      <x:c r="A117">
        <x:v>114</x:v>
      </x:c>
      <x:c r="B117" s="1" t="s">
        <x:v>115</x:v>
      </x:c>
      <x:c r="C117" s="1" t="s">
        <x:v>116</x:v>
      </x:c>
      <x:c r="D117" s="1" t="s">
        <x:v>124</x:v>
      </x:c>
      <x:c r="E117" s="1" t="s">
        <x:v>121</x:v>
      </x:c>
      <x:c r="F117" s="1" t="s">
        <x:v>112</x:v>
      </x:c>
      <x:c r="G117" s="1" t="s">
        <x:v>120</x:v>
      </x:c>
      <x:c r="H117" s="1" t="s">
        <x:v>117</x:v>
      </x:c>
      <x:c r="I117" s="1" t="s">
        <x:v>113</x:v>
      </x:c>
      <x:c r="J117">
        <x:f t="shared" si="3"/>
        <x:v>0</x:v>
      </x:c>
      <x:c r="K117" t="n">
        <x:f>COUNTIFS(Grunnspill!$A:$A,Annex!B117)</x:f>
        <x:v>0</x:v>
      </x:c>
      <x:c r="L117" t="n">
        <x:f>COUNTIFS(Grunnspill!$A:$A,Annex!C117)</x:f>
        <x:v>0</x:v>
      </x:c>
      <x:c r="M117" t="n">
        <x:f>COUNTIFS(Grunnspill!$A:$A,Annex!D117)</x:f>
        <x:v>0</x:v>
      </x:c>
      <x:c r="N117" t="n">
        <x:f>COUNTIFS(Grunnspill!$A:$A,Annex!E117)</x:f>
        <x:v>0</x:v>
      </x:c>
      <x:c r="O117" t="n">
        <x:f>COUNTIFS(Grunnspill!$A:$A,Annex!F117)</x:f>
        <x:v>0</x:v>
      </x:c>
      <x:c r="P117" t="n">
        <x:f>COUNTIFS(Grunnspill!$A:$A,Annex!G117)</x:f>
        <x:v>0</x:v>
      </x:c>
      <x:c r="Q117" t="n">
        <x:f>COUNTIFS(Grunnspill!$A:$A,Annex!H117)</x:f>
        <x:v>0</x:v>
      </x:c>
      <x:c r="R117" t="n">
        <x:f>COUNTIFS(Grunnspill!$A:$A,Annex!I117)</x:f>
        <x:v>0</x:v>
      </x:c>
    </x:row>
    <x:row r="118">
      <x:c r="A118">
        <x:v>115</x:v>
      </x:c>
      <x:c r="B118" s="1" t="s">
        <x:v>115</x:v>
      </x:c>
      <x:c r="C118" s="1" t="s">
        <x:v>116</x:v>
      </x:c>
      <x:c r="D118" s="1" t="s">
        <x:v>124</x:v>
      </x:c>
      <x:c r="E118" s="1" t="s">
        <x:v>121</x:v>
      </x:c>
      <x:c r="F118" s="1" t="s">
        <x:v>112</x:v>
      </x:c>
      <x:c r="G118" s="1" t="s">
        <x:v>120</x:v>
      </x:c>
      <x:c r="H118" s="1" t="s">
        <x:v>113</x:v>
      </x:c>
      <x:c r="I118" s="1" t="s">
        <x:v>118</x:v>
      </x:c>
      <x:c r="J118">
        <x:f t="shared" si="3"/>
        <x:v>0</x:v>
      </x:c>
      <x:c r="K118" t="n">
        <x:f>COUNTIFS(Grunnspill!$A:$A,Annex!B118)</x:f>
        <x:v>0</x:v>
      </x:c>
      <x:c r="L118" t="n">
        <x:f>COUNTIFS(Grunnspill!$A:$A,Annex!C118)</x:f>
        <x:v>0</x:v>
      </x:c>
      <x:c r="M118" t="n">
        <x:f>COUNTIFS(Grunnspill!$A:$A,Annex!D118)</x:f>
        <x:v>0</x:v>
      </x:c>
      <x:c r="N118" t="n">
        <x:f>COUNTIFS(Grunnspill!$A:$A,Annex!E118)</x:f>
        <x:v>0</x:v>
      </x:c>
      <x:c r="O118" t="n">
        <x:f>COUNTIFS(Grunnspill!$A:$A,Annex!F118)</x:f>
        <x:v>0</x:v>
      </x:c>
      <x:c r="P118" t="n">
        <x:f>COUNTIFS(Grunnspill!$A:$A,Annex!G118)</x:f>
        <x:v>0</x:v>
      </x:c>
      <x:c r="Q118" t="n">
        <x:f>COUNTIFS(Grunnspill!$A:$A,Annex!H118)</x:f>
        <x:v>0</x:v>
      </x:c>
      <x:c r="R118" t="n">
        <x:f>COUNTIFS(Grunnspill!$A:$A,Annex!I118)</x:f>
        <x:v>0</x:v>
      </x:c>
    </x:row>
    <x:row r="119">
      <x:c r="A119">
        <x:v>116</x:v>
      </x:c>
      <x:c r="B119" s="1" t="s">
        <x:v>121</x:v>
      </x:c>
      <x:c r="C119" s="1" t="s">
        <x:v>112</x:v>
      </x:c>
      <x:c r="D119" s="1" t="s">
        <x:v>124</x:v>
      </x:c>
      <x:c r="E119" s="1" t="s">
        <x:v>120</x:v>
      </x:c>
      <x:c r="F119" s="1" t="s">
        <x:v>113</x:v>
      </x:c>
      <x:c r="G119" s="1" t="s">
        <x:v>114</x:v>
      </x:c>
      <x:c r="H119" s="1" t="s">
        <x:v>117</x:v>
      </x:c>
      <x:c r="I119" s="1" t="s">
        <x:v>118</x:v>
      </x:c>
      <x:c r="J119">
        <x:f t="shared" si="3"/>
        <x:v>0</x:v>
      </x:c>
      <x:c r="K119" t="n">
        <x:f>COUNTIFS(Grunnspill!$A:$A,Annex!B119)</x:f>
        <x:v>0</x:v>
      </x:c>
      <x:c r="L119" t="n">
        <x:f>COUNTIFS(Grunnspill!$A:$A,Annex!C119)</x:f>
        <x:v>0</x:v>
      </x:c>
      <x:c r="M119" t="n">
        <x:f>COUNTIFS(Grunnspill!$A:$A,Annex!D119)</x:f>
        <x:v>0</x:v>
      </x:c>
      <x:c r="N119" t="n">
        <x:f>COUNTIFS(Grunnspill!$A:$A,Annex!E119)</x:f>
        <x:v>0</x:v>
      </x:c>
      <x:c r="O119" t="n">
        <x:f>COUNTIFS(Grunnspill!$A:$A,Annex!F119)</x:f>
        <x:v>0</x:v>
      </x:c>
      <x:c r="P119" t="n">
        <x:f>COUNTIFS(Grunnspill!$A:$A,Annex!G119)</x:f>
        <x:v>0</x:v>
      </x:c>
      <x:c r="Q119" t="n">
        <x:f>COUNTIFS(Grunnspill!$A:$A,Annex!H119)</x:f>
        <x:v>0</x:v>
      </x:c>
      <x:c r="R119" t="n">
        <x:f>COUNTIFS(Grunnspill!$A:$A,Annex!I119)</x:f>
        <x:v>0</x:v>
      </x:c>
    </x:row>
    <x:row r="120">
      <x:c r="A120">
        <x:v>117</x:v>
      </x:c>
      <x:c r="B120" s="1" t="s">
        <x:v>121</x:v>
      </x:c>
      <x:c r="C120" s="1" t="s">
        <x:v>112</x:v>
      </x:c>
      <x:c r="D120" s="1" t="s">
        <x:v>124</x:v>
      </x:c>
      <x:c r="E120" s="1" t="s">
        <x:v>120</x:v>
      </x:c>
      <x:c r="F120" s="1" t="s">
        <x:v>115</x:v>
      </x:c>
      <x:c r="G120" s="1" t="s">
        <x:v>114</x:v>
      </x:c>
      <x:c r="H120" s="1" t="s">
        <x:v>117</x:v>
      </x:c>
      <x:c r="I120" s="1" t="s">
        <x:v>118</x:v>
      </x:c>
      <x:c r="J120">
        <x:f t="shared" si="3"/>
        <x:v>0</x:v>
      </x:c>
      <x:c r="K120" t="n">
        <x:f>COUNTIFS(Grunnspill!$A:$A,Annex!B120)</x:f>
        <x:v>0</x:v>
      </x:c>
      <x:c r="L120" t="n">
        <x:f>COUNTIFS(Grunnspill!$A:$A,Annex!C120)</x:f>
        <x:v>0</x:v>
      </x:c>
      <x:c r="M120" t="n">
        <x:f>COUNTIFS(Grunnspill!$A:$A,Annex!D120)</x:f>
        <x:v>0</x:v>
      </x:c>
      <x:c r="N120" t="n">
        <x:f>COUNTIFS(Grunnspill!$A:$A,Annex!E120)</x:f>
        <x:v>0</x:v>
      </x:c>
      <x:c r="O120" t="n">
        <x:f>COUNTIFS(Grunnspill!$A:$A,Annex!F120)</x:f>
        <x:v>0</x:v>
      </x:c>
      <x:c r="P120" t="n">
        <x:f>COUNTIFS(Grunnspill!$A:$A,Annex!G120)</x:f>
        <x:v>0</x:v>
      </x:c>
      <x:c r="Q120" t="n">
        <x:f>COUNTIFS(Grunnspill!$A:$A,Annex!H120)</x:f>
        <x:v>0</x:v>
      </x:c>
      <x:c r="R120" t="n">
        <x:f>COUNTIFS(Grunnspill!$A:$A,Annex!I120)</x:f>
        <x:v>0</x:v>
      </x:c>
    </x:row>
    <x:row r="121">
      <x:c r="A121">
        <x:v>118</x:v>
      </x:c>
      <x:c r="B121" s="1" t="s">
        <x:v>121</x:v>
      </x:c>
      <x:c r="C121" s="1" t="s">
        <x:v>113</x:v>
      </x:c>
      <x:c r="D121" s="1" t="s">
        <x:v>124</x:v>
      </x:c>
      <x:c r="E121" s="1" t="s">
        <x:v>120</x:v>
      </x:c>
      <x:c r="F121" s="1" t="s">
        <x:v>115</x:v>
      </x:c>
      <x:c r="G121" s="1" t="s">
        <x:v>114</x:v>
      </x:c>
      <x:c r="H121" s="1" t="s">
        <x:v>117</x:v>
      </x:c>
      <x:c r="I121" s="1" t="s">
        <x:v>118</x:v>
      </x:c>
      <x:c r="J121">
        <x:f t="shared" si="3"/>
        <x:v>0</x:v>
      </x:c>
      <x:c r="K121" t="n">
        <x:f>COUNTIFS(Grunnspill!$A:$A,Annex!B121)</x:f>
        <x:v>0</x:v>
      </x:c>
      <x:c r="L121" t="n">
        <x:f>COUNTIFS(Grunnspill!$A:$A,Annex!C121)</x:f>
        <x:v>0</x:v>
      </x:c>
      <x:c r="M121" t="n">
        <x:f>COUNTIFS(Grunnspill!$A:$A,Annex!D121)</x:f>
        <x:v>0</x:v>
      </x:c>
      <x:c r="N121" t="n">
        <x:f>COUNTIFS(Grunnspill!$A:$A,Annex!E121)</x:f>
        <x:v>0</x:v>
      </x:c>
      <x:c r="O121" t="n">
        <x:f>COUNTIFS(Grunnspill!$A:$A,Annex!F121)</x:f>
        <x:v>0</x:v>
      </x:c>
      <x:c r="P121" t="n">
        <x:f>COUNTIFS(Grunnspill!$A:$A,Annex!G121)</x:f>
        <x:v>0</x:v>
      </x:c>
      <x:c r="Q121" t="n">
        <x:f>COUNTIFS(Grunnspill!$A:$A,Annex!H121)</x:f>
        <x:v>0</x:v>
      </x:c>
      <x:c r="R121" t="n">
        <x:f>COUNTIFS(Grunnspill!$A:$A,Annex!I121)</x:f>
        <x:v>0</x:v>
      </x:c>
    </x:row>
    <x:row r="122">
      <x:c r="A122">
        <x:v>119</x:v>
      </x:c>
      <x:c r="B122" s="1" t="s">
        <x:v>121</x:v>
      </x:c>
      <x:c r="C122" s="1" t="s">
        <x:v>112</x:v>
      </x:c>
      <x:c r="D122" s="1" t="s">
        <x:v>124</x:v>
      </x:c>
      <x:c r="E122" s="1" t="s">
        <x:v>120</x:v>
      </x:c>
      <x:c r="F122" s="1" t="s">
        <x:v>115</x:v>
      </x:c>
      <x:c r="G122" s="1" t="s">
        <x:v>114</x:v>
      </x:c>
      <x:c r="H122" s="1" t="s">
        <x:v>117</x:v>
      </x:c>
      <x:c r="I122" s="1" t="s">
        <x:v>113</x:v>
      </x:c>
      <x:c r="J122">
        <x:f t="shared" si="3"/>
        <x:v>0</x:v>
      </x:c>
      <x:c r="K122" t="n">
        <x:f>COUNTIFS(Grunnspill!$A:$A,Annex!B122)</x:f>
        <x:v>0</x:v>
      </x:c>
      <x:c r="L122" t="n">
        <x:f>COUNTIFS(Grunnspill!$A:$A,Annex!C122)</x:f>
        <x:v>0</x:v>
      </x:c>
      <x:c r="M122" t="n">
        <x:f>COUNTIFS(Grunnspill!$A:$A,Annex!D122)</x:f>
        <x:v>0</x:v>
      </x:c>
      <x:c r="N122" t="n">
        <x:f>COUNTIFS(Grunnspill!$A:$A,Annex!E122)</x:f>
        <x:v>0</x:v>
      </x:c>
      <x:c r="O122" t="n">
        <x:f>COUNTIFS(Grunnspill!$A:$A,Annex!F122)</x:f>
        <x:v>0</x:v>
      </x:c>
      <x:c r="P122" t="n">
        <x:f>COUNTIFS(Grunnspill!$A:$A,Annex!G122)</x:f>
        <x:v>0</x:v>
      </x:c>
      <x:c r="Q122" t="n">
        <x:f>COUNTIFS(Grunnspill!$A:$A,Annex!H122)</x:f>
        <x:v>0</x:v>
      </x:c>
      <x:c r="R122" t="n">
        <x:f>COUNTIFS(Grunnspill!$A:$A,Annex!I122)</x:f>
        <x:v>0</x:v>
      </x:c>
    </x:row>
    <x:row r="123">
      <x:c r="A123">
        <x:v>120</x:v>
      </x:c>
      <x:c r="B123" s="1" t="s">
        <x:v>121</x:v>
      </x:c>
      <x:c r="C123" s="1" t="s">
        <x:v>112</x:v>
      </x:c>
      <x:c r="D123" s="1" t="s">
        <x:v>124</x:v>
      </x:c>
      <x:c r="E123" s="1" t="s">
        <x:v>120</x:v>
      </x:c>
      <x:c r="F123" s="1" t="s">
        <x:v>115</x:v>
      </x:c>
      <x:c r="G123" s="1" t="s">
        <x:v>114</x:v>
      </x:c>
      <x:c r="H123" s="1" t="s">
        <x:v>113</x:v>
      </x:c>
      <x:c r="I123" s="1" t="s">
        <x:v>118</x:v>
      </x:c>
      <x:c r="J123">
        <x:f t="shared" si="3"/>
        <x:v>0</x:v>
      </x:c>
      <x:c r="K123" t="n">
        <x:f>COUNTIFS(Grunnspill!$A:$A,Annex!B123)</x:f>
        <x:v>0</x:v>
      </x:c>
      <x:c r="L123" t="n">
        <x:f>COUNTIFS(Grunnspill!$A:$A,Annex!C123)</x:f>
        <x:v>0</x:v>
      </x:c>
      <x:c r="M123" t="n">
        <x:f>COUNTIFS(Grunnspill!$A:$A,Annex!D123)</x:f>
        <x:v>0</x:v>
      </x:c>
      <x:c r="N123" t="n">
        <x:f>COUNTIFS(Grunnspill!$A:$A,Annex!E123)</x:f>
        <x:v>0</x:v>
      </x:c>
      <x:c r="O123" t="n">
        <x:f>COUNTIFS(Grunnspill!$A:$A,Annex!F123)</x:f>
        <x:v>0</x:v>
      </x:c>
      <x:c r="P123" t="n">
        <x:f>COUNTIFS(Grunnspill!$A:$A,Annex!G123)</x:f>
        <x:v>0</x:v>
      </x:c>
      <x:c r="Q123" t="n">
        <x:f>COUNTIFS(Grunnspill!$A:$A,Annex!H123)</x:f>
        <x:v>0</x:v>
      </x:c>
      <x:c r="R123" t="n">
        <x:f>COUNTIFS(Grunnspill!$A:$A,Annex!I123)</x:f>
        <x:v>0</x:v>
      </x:c>
    </x:row>
    <x:row r="124">
      <x:c r="A124">
        <x:v>121</x:v>
      </x:c>
      <x:c r="B124" s="1" t="s">
        <x:v>121</x:v>
      </x:c>
      <x:c r="C124" s="1" t="s">
        <x:v>116</x:v>
      </x:c>
      <x:c r="D124" s="1" t="s">
        <x:v>124</x:v>
      </x:c>
      <x:c r="E124" s="1" t="s">
        <x:v>120</x:v>
      </x:c>
      <x:c r="F124" s="1" t="s">
        <x:v>112</x:v>
      </x:c>
      <x:c r="G124" s="1" t="s">
        <x:v>114</x:v>
      </x:c>
      <x:c r="H124" s="1" t="s">
        <x:v>117</x:v>
      </x:c>
      <x:c r="I124" s="1" t="s">
        <x:v>118</x:v>
      </x:c>
      <x:c r="J124">
        <x:f t="shared" si="3"/>
        <x:v>0</x:v>
      </x:c>
      <x:c r="K124" t="n">
        <x:f>COUNTIFS(Grunnspill!$A:$A,Annex!B124)</x:f>
        <x:v>0</x:v>
      </x:c>
      <x:c r="L124" t="n">
        <x:f>COUNTIFS(Grunnspill!$A:$A,Annex!C124)</x:f>
        <x:v>0</x:v>
      </x:c>
      <x:c r="M124" t="n">
        <x:f>COUNTIFS(Grunnspill!$A:$A,Annex!D124)</x:f>
        <x:v>0</x:v>
      </x:c>
      <x:c r="N124" t="n">
        <x:f>COUNTIFS(Grunnspill!$A:$A,Annex!E124)</x:f>
        <x:v>0</x:v>
      </x:c>
      <x:c r="O124" t="n">
        <x:f>COUNTIFS(Grunnspill!$A:$A,Annex!F124)</x:f>
        <x:v>0</x:v>
      </x:c>
      <x:c r="P124" t="n">
        <x:f>COUNTIFS(Grunnspill!$A:$A,Annex!G124)</x:f>
        <x:v>0</x:v>
      </x:c>
      <x:c r="Q124" t="n">
        <x:f>COUNTIFS(Grunnspill!$A:$A,Annex!H124)</x:f>
        <x:v>0</x:v>
      </x:c>
      <x:c r="R124" t="n">
        <x:f>COUNTIFS(Grunnspill!$A:$A,Annex!I124)</x:f>
        <x:v>0</x:v>
      </x:c>
    </x:row>
    <x:row r="125">
      <x:c r="A125">
        <x:v>122</x:v>
      </x:c>
      <x:c r="B125" s="1" t="s">
        <x:v>121</x:v>
      </x:c>
      <x:c r="C125" s="1" t="s">
        <x:v>116</x:v>
      </x:c>
      <x:c r="D125" s="1" t="s">
        <x:v>124</x:v>
      </x:c>
      <x:c r="E125" s="1" t="s">
        <x:v>120</x:v>
      </x:c>
      <x:c r="F125" s="1" t="s">
        <x:v>113</x:v>
      </x:c>
      <x:c r="G125" s="1" t="s">
        <x:v>114</x:v>
      </x:c>
      <x:c r="H125" s="1" t="s">
        <x:v>117</x:v>
      </x:c>
      <x:c r="I125" s="1" t="s">
        <x:v>118</x:v>
      </x:c>
      <x:c r="J125">
        <x:f t="shared" si="3"/>
        <x:v>0</x:v>
      </x:c>
      <x:c r="K125" t="n">
        <x:f>COUNTIFS(Grunnspill!$A:$A,Annex!B125)</x:f>
        <x:v>0</x:v>
      </x:c>
      <x:c r="L125" t="n">
        <x:f>COUNTIFS(Grunnspill!$A:$A,Annex!C125)</x:f>
        <x:v>0</x:v>
      </x:c>
      <x:c r="M125" t="n">
        <x:f>COUNTIFS(Grunnspill!$A:$A,Annex!D125)</x:f>
        <x:v>0</x:v>
      </x:c>
      <x:c r="N125" t="n">
        <x:f>COUNTIFS(Grunnspill!$A:$A,Annex!E125)</x:f>
        <x:v>0</x:v>
      </x:c>
      <x:c r="O125" t="n">
        <x:f>COUNTIFS(Grunnspill!$A:$A,Annex!F125)</x:f>
        <x:v>0</x:v>
      </x:c>
      <x:c r="P125" t="n">
        <x:f>COUNTIFS(Grunnspill!$A:$A,Annex!G125)</x:f>
        <x:v>0</x:v>
      </x:c>
      <x:c r="Q125" t="n">
        <x:f>COUNTIFS(Grunnspill!$A:$A,Annex!H125)</x:f>
        <x:v>0</x:v>
      </x:c>
      <x:c r="R125" t="n">
        <x:f>COUNTIFS(Grunnspill!$A:$A,Annex!I125)</x:f>
        <x:v>0</x:v>
      </x:c>
    </x:row>
    <x:row r="126">
      <x:c r="A126">
        <x:v>123</x:v>
      </x:c>
      <x:c r="B126" s="1" t="s">
        <x:v>121</x:v>
      </x:c>
      <x:c r="C126" s="1" t="s">
        <x:v>116</x:v>
      </x:c>
      <x:c r="D126" s="1" t="s">
        <x:v>124</x:v>
      </x:c>
      <x:c r="E126" s="1" t="s">
        <x:v>120</x:v>
      </x:c>
      <x:c r="F126" s="1" t="s">
        <x:v>112</x:v>
      </x:c>
      <x:c r="G126" s="1" t="s">
        <x:v>114</x:v>
      </x:c>
      <x:c r="H126" s="1" t="s">
        <x:v>117</x:v>
      </x:c>
      <x:c r="I126" s="1" t="s">
        <x:v>113</x:v>
      </x:c>
      <x:c r="J126">
        <x:f t="shared" si="3"/>
        <x:v>0</x:v>
      </x:c>
      <x:c r="K126" t="n">
        <x:f>COUNTIFS(Grunnspill!$A:$A,Annex!B126)</x:f>
        <x:v>0</x:v>
      </x:c>
      <x:c r="L126" t="n">
        <x:f>COUNTIFS(Grunnspill!$A:$A,Annex!C126)</x:f>
        <x:v>0</x:v>
      </x:c>
      <x:c r="M126" t="n">
        <x:f>COUNTIFS(Grunnspill!$A:$A,Annex!D126)</x:f>
        <x:v>0</x:v>
      </x:c>
      <x:c r="N126" t="n">
        <x:f>COUNTIFS(Grunnspill!$A:$A,Annex!E126)</x:f>
        <x:v>0</x:v>
      </x:c>
      <x:c r="O126" t="n">
        <x:f>COUNTIFS(Grunnspill!$A:$A,Annex!F126)</x:f>
        <x:v>0</x:v>
      </x:c>
      <x:c r="P126" t="n">
        <x:f>COUNTIFS(Grunnspill!$A:$A,Annex!G126)</x:f>
        <x:v>0</x:v>
      </x:c>
      <x:c r="Q126" t="n">
        <x:f>COUNTIFS(Grunnspill!$A:$A,Annex!H126)</x:f>
        <x:v>0</x:v>
      </x:c>
      <x:c r="R126" t="n">
        <x:f>COUNTIFS(Grunnspill!$A:$A,Annex!I126)</x:f>
        <x:v>0</x:v>
      </x:c>
    </x:row>
    <x:row r="127">
      <x:c r="A127">
        <x:v>124</x:v>
      </x:c>
      <x:c r="B127" s="1" t="s">
        <x:v>121</x:v>
      </x:c>
      <x:c r="C127" s="1" t="s">
        <x:v>116</x:v>
      </x:c>
      <x:c r="D127" s="1" t="s">
        <x:v>124</x:v>
      </x:c>
      <x:c r="E127" s="1" t="s">
        <x:v>120</x:v>
      </x:c>
      <x:c r="F127" s="1" t="s">
        <x:v>112</x:v>
      </x:c>
      <x:c r="G127" s="1" t="s">
        <x:v>114</x:v>
      </x:c>
      <x:c r="H127" s="1" t="s">
        <x:v>113</x:v>
      </x:c>
      <x:c r="I127" s="1" t="s">
        <x:v>118</x:v>
      </x:c>
      <x:c r="J127">
        <x:f t="shared" si="3"/>
        <x:v>0</x:v>
      </x:c>
      <x:c r="K127" t="n">
        <x:f>COUNTIFS(Grunnspill!$A:$A,Annex!B127)</x:f>
        <x:v>0</x:v>
      </x:c>
      <x:c r="L127" t="n">
        <x:f>COUNTIFS(Grunnspill!$A:$A,Annex!C127)</x:f>
        <x:v>0</x:v>
      </x:c>
      <x:c r="M127" t="n">
        <x:f>COUNTIFS(Grunnspill!$A:$A,Annex!D127)</x:f>
        <x:v>0</x:v>
      </x:c>
      <x:c r="N127" t="n">
        <x:f>COUNTIFS(Grunnspill!$A:$A,Annex!E127)</x:f>
        <x:v>0</x:v>
      </x:c>
      <x:c r="O127" t="n">
        <x:f>COUNTIFS(Grunnspill!$A:$A,Annex!F127)</x:f>
        <x:v>0</x:v>
      </x:c>
      <x:c r="P127" t="n">
        <x:f>COUNTIFS(Grunnspill!$A:$A,Annex!G127)</x:f>
        <x:v>0</x:v>
      </x:c>
      <x:c r="Q127" t="n">
        <x:f>COUNTIFS(Grunnspill!$A:$A,Annex!H127)</x:f>
        <x:v>0</x:v>
      </x:c>
      <x:c r="R127" t="n">
        <x:f>COUNTIFS(Grunnspill!$A:$A,Annex!I127)</x:f>
        <x:v>0</x:v>
      </x:c>
    </x:row>
    <x:row r="128">
      <x:c r="A128">
        <x:v>125</x:v>
      </x:c>
      <x:c r="B128" s="1" t="s">
        <x:v>121</x:v>
      </x:c>
      <x:c r="C128" s="1" t="s">
        <x:v>116</x:v>
      </x:c>
      <x:c r="D128" s="1" t="s">
        <x:v>124</x:v>
      </x:c>
      <x:c r="E128" s="1" t="s">
        <x:v>120</x:v>
      </x:c>
      <x:c r="F128" s="1" t="s">
        <x:v>115</x:v>
      </x:c>
      <x:c r="G128" s="1" t="s">
        <x:v>114</x:v>
      </x:c>
      <x:c r="H128" s="1" t="s">
        <x:v>117</x:v>
      </x:c>
      <x:c r="I128" s="1" t="s">
        <x:v>118</x:v>
      </x:c>
      <x:c r="J128">
        <x:f t="shared" si="3"/>
        <x:v>0</x:v>
      </x:c>
      <x:c r="K128" t="n">
        <x:f>COUNTIFS(Grunnspill!$A:$A,Annex!B128)</x:f>
        <x:v>0</x:v>
      </x:c>
      <x:c r="L128" t="n">
        <x:f>COUNTIFS(Grunnspill!$A:$A,Annex!C128)</x:f>
        <x:v>0</x:v>
      </x:c>
      <x:c r="M128" t="n">
        <x:f>COUNTIFS(Grunnspill!$A:$A,Annex!D128)</x:f>
        <x:v>0</x:v>
      </x:c>
      <x:c r="N128" t="n">
        <x:f>COUNTIFS(Grunnspill!$A:$A,Annex!E128)</x:f>
        <x:v>0</x:v>
      </x:c>
      <x:c r="O128" t="n">
        <x:f>COUNTIFS(Grunnspill!$A:$A,Annex!F128)</x:f>
        <x:v>0</x:v>
      </x:c>
      <x:c r="P128" t="n">
        <x:f>COUNTIFS(Grunnspill!$A:$A,Annex!G128)</x:f>
        <x:v>0</x:v>
      </x:c>
      <x:c r="Q128" t="n">
        <x:f>COUNTIFS(Grunnspill!$A:$A,Annex!H128)</x:f>
        <x:v>0</x:v>
      </x:c>
      <x:c r="R128" t="n">
        <x:f>COUNTIFS(Grunnspill!$A:$A,Annex!I128)</x:f>
        <x:v>0</x:v>
      </x:c>
    </x:row>
    <x:row r="129">
      <x:c r="A129">
        <x:v>126</x:v>
      </x:c>
      <x:c r="B129" s="1" t="s">
        <x:v>121</x:v>
      </x:c>
      <x:c r="C129" s="1" t="s">
        <x:v>116</x:v>
      </x:c>
      <x:c r="D129" s="1" t="s">
        <x:v>124</x:v>
      </x:c>
      <x:c r="E129" s="1" t="s">
        <x:v>120</x:v>
      </x:c>
      <x:c r="F129" s="1" t="s">
        <x:v>115</x:v>
      </x:c>
      <x:c r="G129" s="1" t="s">
        <x:v>114</x:v>
      </x:c>
      <x:c r="H129" s="1" t="s">
        <x:v>117</x:v>
      </x:c>
      <x:c r="I129" s="1" t="s">
        <x:v>112</x:v>
      </x:c>
      <x:c r="J129">
        <x:f t="shared" si="3"/>
        <x:v>0</x:v>
      </x:c>
      <x:c r="K129" t="n">
        <x:f>COUNTIFS(Grunnspill!$A:$A,Annex!B129)</x:f>
        <x:v>0</x:v>
      </x:c>
      <x:c r="L129" t="n">
        <x:f>COUNTIFS(Grunnspill!$A:$A,Annex!C129)</x:f>
        <x:v>0</x:v>
      </x:c>
      <x:c r="M129" t="n">
        <x:f>COUNTIFS(Grunnspill!$A:$A,Annex!D129)</x:f>
        <x:v>0</x:v>
      </x:c>
      <x:c r="N129" t="n">
        <x:f>COUNTIFS(Grunnspill!$A:$A,Annex!E129)</x:f>
        <x:v>0</x:v>
      </x:c>
      <x:c r="O129" t="n">
        <x:f>COUNTIFS(Grunnspill!$A:$A,Annex!F129)</x:f>
        <x:v>0</x:v>
      </x:c>
      <x:c r="P129" t="n">
        <x:f>COUNTIFS(Grunnspill!$A:$A,Annex!G129)</x:f>
        <x:v>0</x:v>
      </x:c>
      <x:c r="Q129" t="n">
        <x:f>COUNTIFS(Grunnspill!$A:$A,Annex!H129)</x:f>
        <x:v>0</x:v>
      </x:c>
      <x:c r="R129" t="n">
        <x:f>COUNTIFS(Grunnspill!$A:$A,Annex!I129)</x:f>
        <x:v>0</x:v>
      </x:c>
    </x:row>
    <x:row r="130">
      <x:c r="A130">
        <x:v>127</x:v>
      </x:c>
      <x:c r="B130" s="1" t="s">
        <x:v>115</x:v>
      </x:c>
      <x:c r="C130" s="1" t="s">
        <x:v>116</x:v>
      </x:c>
      <x:c r="D130" s="1" t="s">
        <x:v>124</x:v>
      </x:c>
      <x:c r="E130" s="1" t="s">
        <x:v>121</x:v>
      </x:c>
      <x:c r="F130" s="1" t="s">
        <x:v>112</x:v>
      </x:c>
      <x:c r="G130" s="1" t="s">
        <x:v>114</x:v>
      </x:c>
      <x:c r="H130" s="1" t="s">
        <x:v>120</x:v>
      </x:c>
      <x:c r="I130" s="1" t="s">
        <x:v>118</x:v>
      </x:c>
      <x:c r="J130">
        <x:f t="shared" si="3"/>
        <x:v>0</x:v>
      </x:c>
      <x:c r="K130" t="n">
        <x:f>COUNTIFS(Grunnspill!$A:$A,Annex!B130)</x:f>
        <x:v>0</x:v>
      </x:c>
      <x:c r="L130" t="n">
        <x:f>COUNTIFS(Grunnspill!$A:$A,Annex!C130)</x:f>
        <x:v>0</x:v>
      </x:c>
      <x:c r="M130" t="n">
        <x:f>COUNTIFS(Grunnspill!$A:$A,Annex!D130)</x:f>
        <x:v>0</x:v>
      </x:c>
      <x:c r="N130" t="n">
        <x:f>COUNTIFS(Grunnspill!$A:$A,Annex!E130)</x:f>
        <x:v>0</x:v>
      </x:c>
      <x:c r="O130" t="n">
        <x:f>COUNTIFS(Grunnspill!$A:$A,Annex!F130)</x:f>
        <x:v>0</x:v>
      </x:c>
      <x:c r="P130" t="n">
        <x:f>COUNTIFS(Grunnspill!$A:$A,Annex!G130)</x:f>
        <x:v>0</x:v>
      </x:c>
      <x:c r="Q130" t="n">
        <x:f>COUNTIFS(Grunnspill!$A:$A,Annex!H130)</x:f>
        <x:v>0</x:v>
      </x:c>
      <x:c r="R130" t="n">
        <x:f>COUNTIFS(Grunnspill!$A:$A,Annex!I130)</x:f>
        <x:v>0</x:v>
      </x:c>
    </x:row>
    <x:row r="131">
      <x:c r="A131">
        <x:v>128</x:v>
      </x:c>
      <x:c r="B131" s="1" t="s">
        <x:v>121</x:v>
      </x:c>
      <x:c r="C131" s="1" t="s">
        <x:v>116</x:v>
      </x:c>
      <x:c r="D131" s="1" t="s">
        <x:v>124</x:v>
      </x:c>
      <x:c r="E131" s="1" t="s">
        <x:v>120</x:v>
      </x:c>
      <x:c r="F131" s="1" t="s">
        <x:v>115</x:v>
      </x:c>
      <x:c r="G131" s="1" t="s">
        <x:v>114</x:v>
      </x:c>
      <x:c r="H131" s="1" t="s">
        <x:v>117</x:v>
      </x:c>
      <x:c r="I131" s="1" t="s">
        <x:v>113</x:v>
      </x:c>
      <x:c r="J131">
        <x:f t="shared" si="3"/>
        <x:v>0</x:v>
      </x:c>
      <x:c r="K131" t="n">
        <x:f>COUNTIFS(Grunnspill!$A:$A,Annex!B131)</x:f>
        <x:v>0</x:v>
      </x:c>
      <x:c r="L131" t="n">
        <x:f>COUNTIFS(Grunnspill!$A:$A,Annex!C131)</x:f>
        <x:v>0</x:v>
      </x:c>
      <x:c r="M131" t="n">
        <x:f>COUNTIFS(Grunnspill!$A:$A,Annex!D131)</x:f>
        <x:v>0</x:v>
      </x:c>
      <x:c r="N131" t="n">
        <x:f>COUNTIFS(Grunnspill!$A:$A,Annex!E131)</x:f>
        <x:v>0</x:v>
      </x:c>
      <x:c r="O131" t="n">
        <x:f>COUNTIFS(Grunnspill!$A:$A,Annex!F131)</x:f>
        <x:v>0</x:v>
      </x:c>
      <x:c r="P131" t="n">
        <x:f>COUNTIFS(Grunnspill!$A:$A,Annex!G131)</x:f>
        <x:v>0</x:v>
      </x:c>
      <x:c r="Q131" t="n">
        <x:f>COUNTIFS(Grunnspill!$A:$A,Annex!H131)</x:f>
        <x:v>0</x:v>
      </x:c>
      <x:c r="R131" t="n">
        <x:f>COUNTIFS(Grunnspill!$A:$A,Annex!I131)</x:f>
        <x:v>0</x:v>
      </x:c>
    </x:row>
    <x:row r="132">
      <x:c r="A132">
        <x:v>129</x:v>
      </x:c>
      <x:c r="B132" s="1" t="s">
        <x:v>121</x:v>
      </x:c>
      <x:c r="C132" s="1" t="s">
        <x:v>116</x:v>
      </x:c>
      <x:c r="D132" s="1" t="s">
        <x:v>124</x:v>
      </x:c>
      <x:c r="E132" s="1" t="s">
        <x:v>120</x:v>
      </x:c>
      <x:c r="F132" s="1" t="s">
        <x:v>115</x:v>
      </x:c>
      <x:c r="G132" s="1" t="s">
        <x:v>114</x:v>
      </x:c>
      <x:c r="H132" s="1" t="s">
        <x:v>113</x:v>
      </x:c>
      <x:c r="I132" s="1" t="s">
        <x:v>118</x:v>
      </x:c>
      <x:c r="J132">
        <x:f t="shared" si="3"/>
        <x:v>0</x:v>
      </x:c>
      <x:c r="K132" t="n">
        <x:f>COUNTIFS(Grunnspill!$A:$A,Annex!B132)</x:f>
        <x:v>0</x:v>
      </x:c>
      <x:c r="L132" t="n">
        <x:f>COUNTIFS(Grunnspill!$A:$A,Annex!C132)</x:f>
        <x:v>0</x:v>
      </x:c>
      <x:c r="M132" t="n">
        <x:f>COUNTIFS(Grunnspill!$A:$A,Annex!D132)</x:f>
        <x:v>0</x:v>
      </x:c>
      <x:c r="N132" t="n">
        <x:f>COUNTIFS(Grunnspill!$A:$A,Annex!E132)</x:f>
        <x:v>0</x:v>
      </x:c>
      <x:c r="O132" t="n">
        <x:f>COUNTIFS(Grunnspill!$A:$A,Annex!F132)</x:f>
        <x:v>0</x:v>
      </x:c>
      <x:c r="P132" t="n">
        <x:f>COUNTIFS(Grunnspill!$A:$A,Annex!G132)</x:f>
        <x:v>0</x:v>
      </x:c>
      <x:c r="Q132" t="n">
        <x:f>COUNTIFS(Grunnspill!$A:$A,Annex!H132)</x:f>
        <x:v>0</x:v>
      </x:c>
      <x:c r="R132" t="n">
        <x:f>COUNTIFS(Grunnspill!$A:$A,Annex!I132)</x:f>
        <x:v>0</x:v>
      </x:c>
    </x:row>
    <x:row r="133">
      <x:c r="A133">
        <x:v>130</x:v>
      </x:c>
      <x:c r="B133" s="1" t="s">
        <x:v>115</x:v>
      </x:c>
      <x:c r="C133" s="1" t="s">
        <x:v>116</x:v>
      </x:c>
      <x:c r="D133" s="1" t="s">
        <x:v>124</x:v>
      </x:c>
      <x:c r="E133" s="1" t="s">
        <x:v>121</x:v>
      </x:c>
      <x:c r="F133" s="1" t="s">
        <x:v>112</x:v>
      </x:c>
      <x:c r="G133" s="1" t="s">
        <x:v>114</x:v>
      </x:c>
      <x:c r="H133" s="1" t="s">
        <x:v>120</x:v>
      </x:c>
      <x:c r="I133" s="1" t="s">
        <x:v>113</x:v>
      </x:c>
      <x:c r="J133">
        <x:f t="shared" si="3"/>
        <x:v>0</x:v>
      </x:c>
      <x:c r="K133" t="n">
        <x:f>COUNTIFS(Grunnspill!$A:$A,Annex!B133)</x:f>
        <x:v>0</x:v>
      </x:c>
      <x:c r="L133" t="n">
        <x:f>COUNTIFS(Grunnspill!$A:$A,Annex!C133)</x:f>
        <x:v>0</x:v>
      </x:c>
      <x:c r="M133" t="n">
        <x:f>COUNTIFS(Grunnspill!$A:$A,Annex!D133)</x:f>
        <x:v>0</x:v>
      </x:c>
      <x:c r="N133" t="n">
        <x:f>COUNTIFS(Grunnspill!$A:$A,Annex!E133)</x:f>
        <x:v>0</x:v>
      </x:c>
      <x:c r="O133" t="n">
        <x:f>COUNTIFS(Grunnspill!$A:$A,Annex!F133)</x:f>
        <x:v>0</x:v>
      </x:c>
      <x:c r="P133" t="n">
        <x:f>COUNTIFS(Grunnspill!$A:$A,Annex!G133)</x:f>
        <x:v>0</x:v>
      </x:c>
      <x:c r="Q133" t="n">
        <x:f>COUNTIFS(Grunnspill!$A:$A,Annex!H133)</x:f>
        <x:v>0</x:v>
      </x:c>
      <x:c r="R133" t="n">
        <x:f>COUNTIFS(Grunnspill!$A:$A,Annex!I133)</x:f>
        <x:v>0</x:v>
      </x:c>
    </x:row>
    <x:row r="134">
      <x:c r="A134">
        <x:v>131</x:v>
      </x:c>
      <x:c r="B134" s="1" t="s">
        <x:v>111</x:v>
      </x:c>
      <x:c r="C134" s="1" t="s">
        <x:v>112</x:v>
      </x:c>
      <x:c r="D134" s="1" t="s">
        <x:v>124</x:v>
      </x:c>
      <x:c r="E134" s="1" t="s">
        <x:v>121</x:v>
      </x:c>
      <x:c r="F134" s="1" t="s">
        <x:v>113</x:v>
      </x:c>
      <x:c r="G134" s="1" t="s">
        <x:v>120</x:v>
      </x:c>
      <x:c r="H134" s="1" t="s">
        <x:v>117</x:v>
      </x:c>
      <x:c r="I134" s="1" t="s">
        <x:v>118</x:v>
      </x:c>
      <x:c r="J134">
        <x:f t="shared" si="3"/>
        <x:v>0</x:v>
      </x:c>
      <x:c r="K134" t="n">
        <x:f>COUNTIFS(Grunnspill!$A:$A,Annex!B134)</x:f>
        <x:v>0</x:v>
      </x:c>
      <x:c r="L134" t="n">
        <x:f>COUNTIFS(Grunnspill!$A:$A,Annex!C134)</x:f>
        <x:v>0</x:v>
      </x:c>
      <x:c r="M134" t="n">
        <x:f>COUNTIFS(Grunnspill!$A:$A,Annex!D134)</x:f>
        <x:v>0</x:v>
      </x:c>
      <x:c r="N134" t="n">
        <x:f>COUNTIFS(Grunnspill!$A:$A,Annex!E134)</x:f>
        <x:v>0</x:v>
      </x:c>
      <x:c r="O134" t="n">
        <x:f>COUNTIFS(Grunnspill!$A:$A,Annex!F134)</x:f>
        <x:v>0</x:v>
      </x:c>
      <x:c r="P134" t="n">
        <x:f>COUNTIFS(Grunnspill!$A:$A,Annex!G134)</x:f>
        <x:v>0</x:v>
      </x:c>
      <x:c r="Q134" t="n">
        <x:f>COUNTIFS(Grunnspill!$A:$A,Annex!H134)</x:f>
        <x:v>0</x:v>
      </x:c>
      <x:c r="R134" t="n">
        <x:f>COUNTIFS(Grunnspill!$A:$A,Annex!I134)</x:f>
        <x:v>0</x:v>
      </x:c>
    </x:row>
    <x:row r="135">
      <x:c r="A135">
        <x:v>132</x:v>
      </x:c>
      <x:c r="B135" s="1" t="s">
        <x:v>111</x:v>
      </x:c>
      <x:c r="C135" s="1" t="s">
        <x:v>112</x:v>
      </x:c>
      <x:c r="D135" s="1" t="s">
        <x:v>124</x:v>
      </x:c>
      <x:c r="E135" s="1" t="s">
        <x:v>121</x:v>
      </x:c>
      <x:c r="F135" s="1" t="s">
        <x:v>115</x:v>
      </x:c>
      <x:c r="G135" s="1" t="s">
        <x:v>120</x:v>
      </x:c>
      <x:c r="H135" s="1" t="s">
        <x:v>117</x:v>
      </x:c>
      <x:c r="I135" s="1" t="s">
        <x:v>118</x:v>
      </x:c>
      <x:c r="J135">
        <x:f t="shared" si="3"/>
        <x:v>0</x:v>
      </x:c>
      <x:c r="K135" t="n">
        <x:f>COUNTIFS(Grunnspill!$A:$A,Annex!B135)</x:f>
        <x:v>0</x:v>
      </x:c>
      <x:c r="L135" t="n">
        <x:f>COUNTIFS(Grunnspill!$A:$A,Annex!C135)</x:f>
        <x:v>0</x:v>
      </x:c>
      <x:c r="M135" t="n">
        <x:f>COUNTIFS(Grunnspill!$A:$A,Annex!D135)</x:f>
        <x:v>0</x:v>
      </x:c>
      <x:c r="N135" t="n">
        <x:f>COUNTIFS(Grunnspill!$A:$A,Annex!E135)</x:f>
        <x:v>0</x:v>
      </x:c>
      <x:c r="O135" t="n">
        <x:f>COUNTIFS(Grunnspill!$A:$A,Annex!F135)</x:f>
        <x:v>0</x:v>
      </x:c>
      <x:c r="P135" t="n">
        <x:f>COUNTIFS(Grunnspill!$A:$A,Annex!G135)</x:f>
        <x:v>0</x:v>
      </x:c>
      <x:c r="Q135" t="n">
        <x:f>COUNTIFS(Grunnspill!$A:$A,Annex!H135)</x:f>
        <x:v>0</x:v>
      </x:c>
      <x:c r="R135" t="n">
        <x:f>COUNTIFS(Grunnspill!$A:$A,Annex!I135)</x:f>
        <x:v>0</x:v>
      </x:c>
    </x:row>
    <x:row r="136">
      <x:c r="A136">
        <x:v>133</x:v>
      </x:c>
      <x:c r="B136" s="1" t="s">
        <x:v>111</x:v>
      </x:c>
      <x:c r="C136" s="1" t="s">
        <x:v>113</x:v>
      </x:c>
      <x:c r="D136" s="1" t="s">
        <x:v>124</x:v>
      </x:c>
      <x:c r="E136" s="1" t="s">
        <x:v>121</x:v>
      </x:c>
      <x:c r="F136" s="1" t="s">
        <x:v>115</x:v>
      </x:c>
      <x:c r="G136" s="1" t="s">
        <x:v>120</x:v>
      </x:c>
      <x:c r="H136" s="1" t="s">
        <x:v>117</x:v>
      </x:c>
      <x:c r="I136" s="1" t="s">
        <x:v>118</x:v>
      </x:c>
      <x:c r="J136">
        <x:f t="shared" si="3"/>
        <x:v>0</x:v>
      </x:c>
      <x:c r="K136" t="n">
        <x:f>COUNTIFS(Grunnspill!$A:$A,Annex!B136)</x:f>
        <x:v>0</x:v>
      </x:c>
      <x:c r="L136" t="n">
        <x:f>COUNTIFS(Grunnspill!$A:$A,Annex!C136)</x:f>
        <x:v>0</x:v>
      </x:c>
      <x:c r="M136" t="n">
        <x:f>COUNTIFS(Grunnspill!$A:$A,Annex!D136)</x:f>
        <x:v>0</x:v>
      </x:c>
      <x:c r="N136" t="n">
        <x:f>COUNTIFS(Grunnspill!$A:$A,Annex!E136)</x:f>
        <x:v>0</x:v>
      </x:c>
      <x:c r="O136" t="n">
        <x:f>COUNTIFS(Grunnspill!$A:$A,Annex!F136)</x:f>
        <x:v>0</x:v>
      </x:c>
      <x:c r="P136" t="n">
        <x:f>COUNTIFS(Grunnspill!$A:$A,Annex!G136)</x:f>
        <x:v>0</x:v>
      </x:c>
      <x:c r="Q136" t="n">
        <x:f>COUNTIFS(Grunnspill!$A:$A,Annex!H136)</x:f>
        <x:v>0</x:v>
      </x:c>
      <x:c r="R136" t="n">
        <x:f>COUNTIFS(Grunnspill!$A:$A,Annex!I136)</x:f>
        <x:v>0</x:v>
      </x:c>
    </x:row>
    <x:row r="137">
      <x:c r="A137">
        <x:v>134</x:v>
      </x:c>
      <x:c r="B137" s="1" t="s">
        <x:v>111</x:v>
      </x:c>
      <x:c r="C137" s="1" t="s">
        <x:v>112</x:v>
      </x:c>
      <x:c r="D137" s="1" t="s">
        <x:v>124</x:v>
      </x:c>
      <x:c r="E137" s="1" t="s">
        <x:v>121</x:v>
      </x:c>
      <x:c r="F137" s="1" t="s">
        <x:v>115</x:v>
      </x:c>
      <x:c r="G137" s="1" t="s">
        <x:v>120</x:v>
      </x:c>
      <x:c r="H137" s="1" t="s">
        <x:v>117</x:v>
      </x:c>
      <x:c r="I137" s="1" t="s">
        <x:v>113</x:v>
      </x:c>
      <x:c r="J137">
        <x:f t="shared" si="3"/>
        <x:v>0</x:v>
      </x:c>
      <x:c r="K137" t="n">
        <x:f>COUNTIFS(Grunnspill!$A:$A,Annex!B137)</x:f>
        <x:v>0</x:v>
      </x:c>
      <x:c r="L137" t="n">
        <x:f>COUNTIFS(Grunnspill!$A:$A,Annex!C137)</x:f>
        <x:v>0</x:v>
      </x:c>
      <x:c r="M137" t="n">
        <x:f>COUNTIFS(Grunnspill!$A:$A,Annex!D137)</x:f>
        <x:v>0</x:v>
      </x:c>
      <x:c r="N137" t="n">
        <x:f>COUNTIFS(Grunnspill!$A:$A,Annex!E137)</x:f>
        <x:v>0</x:v>
      </x:c>
      <x:c r="O137" t="n">
        <x:f>COUNTIFS(Grunnspill!$A:$A,Annex!F137)</x:f>
        <x:v>0</x:v>
      </x:c>
      <x:c r="P137" t="n">
        <x:f>COUNTIFS(Grunnspill!$A:$A,Annex!G137)</x:f>
        <x:v>0</x:v>
      </x:c>
      <x:c r="Q137" t="n">
        <x:f>COUNTIFS(Grunnspill!$A:$A,Annex!H137)</x:f>
        <x:v>0</x:v>
      </x:c>
      <x:c r="R137" t="n">
        <x:f>COUNTIFS(Grunnspill!$A:$A,Annex!I137)</x:f>
        <x:v>0</x:v>
      </x:c>
    </x:row>
    <x:row r="138">
      <x:c r="A138">
        <x:v>135</x:v>
      </x:c>
      <x:c r="B138" s="1" t="s">
        <x:v>111</x:v>
      </x:c>
      <x:c r="C138" s="1" t="s">
        <x:v>112</x:v>
      </x:c>
      <x:c r="D138" s="1" t="s">
        <x:v>124</x:v>
      </x:c>
      <x:c r="E138" s="1" t="s">
        <x:v>121</x:v>
      </x:c>
      <x:c r="F138" s="1" t="s">
        <x:v>115</x:v>
      </x:c>
      <x:c r="G138" s="1" t="s">
        <x:v>120</x:v>
      </x:c>
      <x:c r="H138" s="1" t="s">
        <x:v>113</x:v>
      </x:c>
      <x:c r="I138" s="1" t="s">
        <x:v>118</x:v>
      </x:c>
      <x:c r="J138">
        <x:f t="shared" si="3"/>
        <x:v>0</x:v>
      </x:c>
      <x:c r="K138" t="n">
        <x:f>COUNTIFS(Grunnspill!$A:$A,Annex!B138)</x:f>
        <x:v>0</x:v>
      </x:c>
      <x:c r="L138" t="n">
        <x:f>COUNTIFS(Grunnspill!$A:$A,Annex!C138)</x:f>
        <x:v>0</x:v>
      </x:c>
      <x:c r="M138" t="n">
        <x:f>COUNTIFS(Grunnspill!$A:$A,Annex!D138)</x:f>
        <x:v>0</x:v>
      </x:c>
      <x:c r="N138" t="n">
        <x:f>COUNTIFS(Grunnspill!$A:$A,Annex!E138)</x:f>
        <x:v>0</x:v>
      </x:c>
      <x:c r="O138" t="n">
        <x:f>COUNTIFS(Grunnspill!$A:$A,Annex!F138)</x:f>
        <x:v>0</x:v>
      </x:c>
      <x:c r="P138" t="n">
        <x:f>COUNTIFS(Grunnspill!$A:$A,Annex!G138)</x:f>
        <x:v>0</x:v>
      </x:c>
      <x:c r="Q138" t="n">
        <x:f>COUNTIFS(Grunnspill!$A:$A,Annex!H138)</x:f>
        <x:v>0</x:v>
      </x:c>
      <x:c r="R138" t="n">
        <x:f>COUNTIFS(Grunnspill!$A:$A,Annex!I138)</x:f>
        <x:v>0</x:v>
      </x:c>
    </x:row>
    <x:row r="139">
      <x:c r="A139">
        <x:v>136</x:v>
      </x:c>
      <x:c r="B139" s="1" t="s">
        <x:v>111</x:v>
      </x:c>
      <x:c r="C139" s="1" t="s">
        <x:v>116</x:v>
      </x:c>
      <x:c r="D139" s="1" t="s">
        <x:v>124</x:v>
      </x:c>
      <x:c r="E139" s="1" t="s">
        <x:v>121</x:v>
      </x:c>
      <x:c r="F139" s="1" t="s">
        <x:v>112</x:v>
      </x:c>
      <x:c r="G139" s="1" t="s">
        <x:v>120</x:v>
      </x:c>
      <x:c r="H139" s="1" t="s">
        <x:v>117</x:v>
      </x:c>
      <x:c r="I139" s="1" t="s">
        <x:v>118</x:v>
      </x:c>
      <x:c r="J139">
        <x:f t="shared" si="3"/>
        <x:v>0</x:v>
      </x:c>
      <x:c r="K139" t="n">
        <x:f>COUNTIFS(Grunnspill!$A:$A,Annex!B139)</x:f>
        <x:v>0</x:v>
      </x:c>
      <x:c r="L139" t="n">
        <x:f>COUNTIFS(Grunnspill!$A:$A,Annex!C139)</x:f>
        <x:v>0</x:v>
      </x:c>
      <x:c r="M139" t="n">
        <x:f>COUNTIFS(Grunnspill!$A:$A,Annex!D139)</x:f>
        <x:v>0</x:v>
      </x:c>
      <x:c r="N139" t="n">
        <x:f>COUNTIFS(Grunnspill!$A:$A,Annex!E139)</x:f>
        <x:v>0</x:v>
      </x:c>
      <x:c r="O139" t="n">
        <x:f>COUNTIFS(Grunnspill!$A:$A,Annex!F139)</x:f>
        <x:v>0</x:v>
      </x:c>
      <x:c r="P139" t="n">
        <x:f>COUNTIFS(Grunnspill!$A:$A,Annex!G139)</x:f>
        <x:v>0</x:v>
      </x:c>
      <x:c r="Q139" t="n">
        <x:f>COUNTIFS(Grunnspill!$A:$A,Annex!H139)</x:f>
        <x:v>0</x:v>
      </x:c>
      <x:c r="R139" t="n">
        <x:f>COUNTIFS(Grunnspill!$A:$A,Annex!I139)</x:f>
        <x:v>0</x:v>
      </x:c>
    </x:row>
    <x:row r="140">
      <x:c r="A140">
        <x:v>137</x:v>
      </x:c>
      <x:c r="B140" s="1" t="s">
        <x:v>111</x:v>
      </x:c>
      <x:c r="C140" s="1" t="s">
        <x:v>116</x:v>
      </x:c>
      <x:c r="D140" s="1" t="s">
        <x:v>124</x:v>
      </x:c>
      <x:c r="E140" s="1" t="s">
        <x:v>121</x:v>
      </x:c>
      <x:c r="F140" s="1" t="s">
        <x:v>113</x:v>
      </x:c>
      <x:c r="G140" s="1" t="s">
        <x:v>120</x:v>
      </x:c>
      <x:c r="H140" s="1" t="s">
        <x:v>117</x:v>
      </x:c>
      <x:c r="I140" s="1" t="s">
        <x:v>118</x:v>
      </x:c>
      <x:c r="J140">
        <x:f t="shared" si="3"/>
        <x:v>0</x:v>
      </x:c>
      <x:c r="K140" t="n">
        <x:f>COUNTIFS(Grunnspill!$A:$A,Annex!B140)</x:f>
        <x:v>0</x:v>
      </x:c>
      <x:c r="L140" t="n">
        <x:f>COUNTIFS(Grunnspill!$A:$A,Annex!C140)</x:f>
        <x:v>0</x:v>
      </x:c>
      <x:c r="M140" t="n">
        <x:f>COUNTIFS(Grunnspill!$A:$A,Annex!D140)</x:f>
        <x:v>0</x:v>
      </x:c>
      <x:c r="N140" t="n">
        <x:f>COUNTIFS(Grunnspill!$A:$A,Annex!E140)</x:f>
        <x:v>0</x:v>
      </x:c>
      <x:c r="O140" t="n">
        <x:f>COUNTIFS(Grunnspill!$A:$A,Annex!F140)</x:f>
        <x:v>0</x:v>
      </x:c>
      <x:c r="P140" t="n">
        <x:f>COUNTIFS(Grunnspill!$A:$A,Annex!G140)</x:f>
        <x:v>0</x:v>
      </x:c>
      <x:c r="Q140" t="n">
        <x:f>COUNTIFS(Grunnspill!$A:$A,Annex!H140)</x:f>
        <x:v>0</x:v>
      </x:c>
      <x:c r="R140" t="n">
        <x:f>COUNTIFS(Grunnspill!$A:$A,Annex!I140)</x:f>
        <x:v>0</x:v>
      </x:c>
    </x:row>
    <x:row r="141">
      <x:c r="A141">
        <x:v>138</x:v>
      </x:c>
      <x:c r="B141" s="1" t="s">
        <x:v>111</x:v>
      </x:c>
      <x:c r="C141" s="1" t="s">
        <x:v>116</x:v>
      </x:c>
      <x:c r="D141" s="1" t="s">
        <x:v>124</x:v>
      </x:c>
      <x:c r="E141" s="1" t="s">
        <x:v>121</x:v>
      </x:c>
      <x:c r="F141" s="1" t="s">
        <x:v>112</x:v>
      </x:c>
      <x:c r="G141" s="1" t="s">
        <x:v>120</x:v>
      </x:c>
      <x:c r="H141" s="1" t="s">
        <x:v>117</x:v>
      </x:c>
      <x:c r="I141" s="1" t="s">
        <x:v>113</x:v>
      </x:c>
      <x:c r="J141">
        <x:f t="shared" si="3"/>
        <x:v>0</x:v>
      </x:c>
      <x:c r="K141" t="n">
        <x:f>COUNTIFS(Grunnspill!$A:$A,Annex!B141)</x:f>
        <x:v>0</x:v>
      </x:c>
      <x:c r="L141" t="n">
        <x:f>COUNTIFS(Grunnspill!$A:$A,Annex!C141)</x:f>
        <x:v>0</x:v>
      </x:c>
      <x:c r="M141" t="n">
        <x:f>COUNTIFS(Grunnspill!$A:$A,Annex!D141)</x:f>
        <x:v>0</x:v>
      </x:c>
      <x:c r="N141" t="n">
        <x:f>COUNTIFS(Grunnspill!$A:$A,Annex!E141)</x:f>
        <x:v>0</x:v>
      </x:c>
      <x:c r="O141" t="n">
        <x:f>COUNTIFS(Grunnspill!$A:$A,Annex!F141)</x:f>
        <x:v>0</x:v>
      </x:c>
      <x:c r="P141" t="n">
        <x:f>COUNTIFS(Grunnspill!$A:$A,Annex!G141)</x:f>
        <x:v>0</x:v>
      </x:c>
      <x:c r="Q141" t="n">
        <x:f>COUNTIFS(Grunnspill!$A:$A,Annex!H141)</x:f>
        <x:v>0</x:v>
      </x:c>
      <x:c r="R141" t="n">
        <x:f>COUNTIFS(Grunnspill!$A:$A,Annex!I141)</x:f>
        <x:v>0</x:v>
      </x:c>
    </x:row>
    <x:row r="142">
      <x:c r="A142">
        <x:v>139</x:v>
      </x:c>
      <x:c r="B142" s="1" t="s">
        <x:v>111</x:v>
      </x:c>
      <x:c r="C142" s="1" t="s">
        <x:v>116</x:v>
      </x:c>
      <x:c r="D142" s="1" t="s">
        <x:v>124</x:v>
      </x:c>
      <x:c r="E142" s="1" t="s">
        <x:v>121</x:v>
      </x:c>
      <x:c r="F142" s="1" t="s">
        <x:v>112</x:v>
      </x:c>
      <x:c r="G142" s="1" t="s">
        <x:v>120</x:v>
      </x:c>
      <x:c r="H142" s="1" t="s">
        <x:v>113</x:v>
      </x:c>
      <x:c r="I142" s="1" t="s">
        <x:v>118</x:v>
      </x:c>
      <x:c r="J142">
        <x:f t="shared" si="3"/>
        <x:v>0</x:v>
      </x:c>
      <x:c r="K142" t="n">
        <x:f>COUNTIFS(Grunnspill!$A:$A,Annex!B142)</x:f>
        <x:v>0</x:v>
      </x:c>
      <x:c r="L142" t="n">
        <x:f>COUNTIFS(Grunnspill!$A:$A,Annex!C142)</x:f>
        <x:v>0</x:v>
      </x:c>
      <x:c r="M142" t="n">
        <x:f>COUNTIFS(Grunnspill!$A:$A,Annex!D142)</x:f>
        <x:v>0</x:v>
      </x:c>
      <x:c r="N142" t="n">
        <x:f>COUNTIFS(Grunnspill!$A:$A,Annex!E142)</x:f>
        <x:v>0</x:v>
      </x:c>
      <x:c r="O142" t="n">
        <x:f>COUNTIFS(Grunnspill!$A:$A,Annex!F142)</x:f>
        <x:v>0</x:v>
      </x:c>
      <x:c r="P142" t="n">
        <x:f>COUNTIFS(Grunnspill!$A:$A,Annex!G142)</x:f>
        <x:v>0</x:v>
      </x:c>
      <x:c r="Q142" t="n">
        <x:f>COUNTIFS(Grunnspill!$A:$A,Annex!H142)</x:f>
        <x:v>0</x:v>
      </x:c>
      <x:c r="R142" t="n">
        <x:f>COUNTIFS(Grunnspill!$A:$A,Annex!I142)</x:f>
        <x:v>0</x:v>
      </x:c>
    </x:row>
    <x:row r="143">
      <x:c r="A143">
        <x:v>140</x:v>
      </x:c>
      <x:c r="B143" s="1" t="s">
        <x:v>111</x:v>
      </x:c>
      <x:c r="C143" s="1" t="s">
        <x:v>116</x:v>
      </x:c>
      <x:c r="D143" s="1" t="s">
        <x:v>124</x:v>
      </x:c>
      <x:c r="E143" s="1" t="s">
        <x:v>121</x:v>
      </x:c>
      <x:c r="F143" s="1" t="s">
        <x:v>115</x:v>
      </x:c>
      <x:c r="G143" s="1" t="s">
        <x:v>120</x:v>
      </x:c>
      <x:c r="H143" s="1" t="s">
        <x:v>117</x:v>
      </x:c>
      <x:c r="I143" s="1" t="s">
        <x:v>118</x:v>
      </x:c>
      <x:c r="J143">
        <x:f t="shared" si="3"/>
        <x:v>0</x:v>
      </x:c>
      <x:c r="K143" t="n">
        <x:f>COUNTIFS(Grunnspill!$A:$A,Annex!B143)</x:f>
        <x:v>0</x:v>
      </x:c>
      <x:c r="L143" t="n">
        <x:f>COUNTIFS(Grunnspill!$A:$A,Annex!C143)</x:f>
        <x:v>0</x:v>
      </x:c>
      <x:c r="M143" t="n">
        <x:f>COUNTIFS(Grunnspill!$A:$A,Annex!D143)</x:f>
        <x:v>0</x:v>
      </x:c>
      <x:c r="N143" t="n">
        <x:f>COUNTIFS(Grunnspill!$A:$A,Annex!E143)</x:f>
        <x:v>0</x:v>
      </x:c>
      <x:c r="O143" t="n">
        <x:f>COUNTIFS(Grunnspill!$A:$A,Annex!F143)</x:f>
        <x:v>0</x:v>
      </x:c>
      <x:c r="P143" t="n">
        <x:f>COUNTIFS(Grunnspill!$A:$A,Annex!G143)</x:f>
        <x:v>0</x:v>
      </x:c>
      <x:c r="Q143" t="n">
        <x:f>COUNTIFS(Grunnspill!$A:$A,Annex!H143)</x:f>
        <x:v>0</x:v>
      </x:c>
      <x:c r="R143" t="n">
        <x:f>COUNTIFS(Grunnspill!$A:$A,Annex!I143)</x:f>
        <x:v>0</x:v>
      </x:c>
    </x:row>
    <x:row r="144">
      <x:c r="A144">
        <x:v>141</x:v>
      </x:c>
      <x:c r="B144" s="1" t="s">
        <x:v>115</x:v>
      </x:c>
      <x:c r="C144" s="1" t="s">
        <x:v>116</x:v>
      </x:c>
      <x:c r="D144" s="1" t="s">
        <x:v>124</x:v>
      </x:c>
      <x:c r="E144" s="1" t="s">
        <x:v>121</x:v>
      </x:c>
      <x:c r="F144" s="1" t="s">
        <x:v>112</x:v>
      </x:c>
      <x:c r="G144" s="1" t="s">
        <x:v>120</x:v>
      </x:c>
      <x:c r="H144" s="1" t="s">
        <x:v>117</x:v>
      </x:c>
      <x:c r="I144" s="1" t="s">
        <x:v>111</x:v>
      </x:c>
      <x:c r="J144">
        <x:f t="shared" si="3"/>
        <x:v>0</x:v>
      </x:c>
      <x:c r="K144" t="n">
        <x:f>COUNTIFS(Grunnspill!$A:$A,Annex!B144)</x:f>
        <x:v>0</x:v>
      </x:c>
      <x:c r="L144" t="n">
        <x:f>COUNTIFS(Grunnspill!$A:$A,Annex!C144)</x:f>
        <x:v>0</x:v>
      </x:c>
      <x:c r="M144" t="n">
        <x:f>COUNTIFS(Grunnspill!$A:$A,Annex!D144)</x:f>
        <x:v>0</x:v>
      </x:c>
      <x:c r="N144" t="n">
        <x:f>COUNTIFS(Grunnspill!$A:$A,Annex!E144)</x:f>
        <x:v>0</x:v>
      </x:c>
      <x:c r="O144" t="n">
        <x:f>COUNTIFS(Grunnspill!$A:$A,Annex!F144)</x:f>
        <x:v>0</x:v>
      </x:c>
      <x:c r="P144" t="n">
        <x:f>COUNTIFS(Grunnspill!$A:$A,Annex!G144)</x:f>
        <x:v>0</x:v>
      </x:c>
      <x:c r="Q144" t="n">
        <x:f>COUNTIFS(Grunnspill!$A:$A,Annex!H144)</x:f>
        <x:v>0</x:v>
      </x:c>
      <x:c r="R144" t="n">
        <x:f>COUNTIFS(Grunnspill!$A:$A,Annex!I144)</x:f>
        <x:v>0</x:v>
      </x:c>
    </x:row>
    <x:row r="145">
      <x:c r="A145">
        <x:v>142</x:v>
      </x:c>
      <x:c r="B145" s="1" t="s">
        <x:v>115</x:v>
      </x:c>
      <x:c r="C145" s="1" t="s">
        <x:v>116</x:v>
      </x:c>
      <x:c r="D145" s="1" t="s">
        <x:v>124</x:v>
      </x:c>
      <x:c r="E145" s="1" t="s">
        <x:v>121</x:v>
      </x:c>
      <x:c r="F145" s="1" t="s">
        <x:v>112</x:v>
      </x:c>
      <x:c r="G145" s="1" t="s">
        <x:v>120</x:v>
      </x:c>
      <x:c r="H145" s="1" t="s">
        <x:v>111</x:v>
      </x:c>
      <x:c r="I145" s="1" t="s">
        <x:v>118</x:v>
      </x:c>
      <x:c r="J145">
        <x:f t="shared" si="3"/>
        <x:v>0</x:v>
      </x:c>
      <x:c r="K145" t="n">
        <x:f>COUNTIFS(Grunnspill!$A:$A,Annex!B145)</x:f>
        <x:v>0</x:v>
      </x:c>
      <x:c r="L145" t="n">
        <x:f>COUNTIFS(Grunnspill!$A:$A,Annex!C145)</x:f>
        <x:v>0</x:v>
      </x:c>
      <x:c r="M145" t="n">
        <x:f>COUNTIFS(Grunnspill!$A:$A,Annex!D145)</x:f>
        <x:v>0</x:v>
      </x:c>
      <x:c r="N145" t="n">
        <x:f>COUNTIFS(Grunnspill!$A:$A,Annex!E145)</x:f>
        <x:v>0</x:v>
      </x:c>
      <x:c r="O145" t="n">
        <x:f>COUNTIFS(Grunnspill!$A:$A,Annex!F145)</x:f>
        <x:v>0</x:v>
      </x:c>
      <x:c r="P145" t="n">
        <x:f>COUNTIFS(Grunnspill!$A:$A,Annex!G145)</x:f>
        <x:v>0</x:v>
      </x:c>
      <x:c r="Q145" t="n">
        <x:f>COUNTIFS(Grunnspill!$A:$A,Annex!H145)</x:f>
        <x:v>0</x:v>
      </x:c>
      <x:c r="R145" t="n">
        <x:f>COUNTIFS(Grunnspill!$A:$A,Annex!I145)</x:f>
        <x:v>0</x:v>
      </x:c>
    </x:row>
    <x:row r="146">
      <x:c r="A146">
        <x:v>143</x:v>
      </x:c>
      <x:c r="B146" s="1" t="s">
        <x:v>111</x:v>
      </x:c>
      <x:c r="C146" s="1" t="s">
        <x:v>116</x:v>
      </x:c>
      <x:c r="D146" s="1" t="s">
        <x:v>124</x:v>
      </x:c>
      <x:c r="E146" s="1" t="s">
        <x:v>121</x:v>
      </x:c>
      <x:c r="F146" s="1" t="s">
        <x:v>115</x:v>
      </x:c>
      <x:c r="G146" s="1" t="s">
        <x:v>120</x:v>
      </x:c>
      <x:c r="H146" s="1" t="s">
        <x:v>117</x:v>
      </x:c>
      <x:c r="I146" s="1" t="s">
        <x:v>113</x:v>
      </x:c>
      <x:c r="J146">
        <x:f t="shared" si="3"/>
        <x:v>0</x:v>
      </x:c>
      <x:c r="K146" t="n">
        <x:f>COUNTIFS(Grunnspill!$A:$A,Annex!B146)</x:f>
        <x:v>0</x:v>
      </x:c>
      <x:c r="L146" t="n">
        <x:f>COUNTIFS(Grunnspill!$A:$A,Annex!C146)</x:f>
        <x:v>0</x:v>
      </x:c>
      <x:c r="M146" t="n">
        <x:f>COUNTIFS(Grunnspill!$A:$A,Annex!D146)</x:f>
        <x:v>0</x:v>
      </x:c>
      <x:c r="N146" t="n">
        <x:f>COUNTIFS(Grunnspill!$A:$A,Annex!E146)</x:f>
        <x:v>0</x:v>
      </x:c>
      <x:c r="O146" t="n">
        <x:f>COUNTIFS(Grunnspill!$A:$A,Annex!F146)</x:f>
        <x:v>0</x:v>
      </x:c>
      <x:c r="P146" t="n">
        <x:f>COUNTIFS(Grunnspill!$A:$A,Annex!G146)</x:f>
        <x:v>0</x:v>
      </x:c>
      <x:c r="Q146" t="n">
        <x:f>COUNTIFS(Grunnspill!$A:$A,Annex!H146)</x:f>
        <x:v>0</x:v>
      </x:c>
      <x:c r="R146" t="n">
        <x:f>COUNTIFS(Grunnspill!$A:$A,Annex!I146)</x:f>
        <x:v>0</x:v>
      </x:c>
    </x:row>
    <x:row r="147">
      <x:c r="A147">
        <x:v>144</x:v>
      </x:c>
      <x:c r="B147" s="1" t="s">
        <x:v>111</x:v>
      </x:c>
      <x:c r="C147" s="1" t="s">
        <x:v>116</x:v>
      </x:c>
      <x:c r="D147" s="1" t="s">
        <x:v>124</x:v>
      </x:c>
      <x:c r="E147" s="1" t="s">
        <x:v>121</x:v>
      </x:c>
      <x:c r="F147" s="1" t="s">
        <x:v>115</x:v>
      </x:c>
      <x:c r="G147" s="1" t="s">
        <x:v>120</x:v>
      </x:c>
      <x:c r="H147" s="1" t="s">
        <x:v>113</x:v>
      </x:c>
      <x:c r="I147" s="1" t="s">
        <x:v>118</x:v>
      </x:c>
      <x:c r="J147">
        <x:f t="shared" si="3"/>
        <x:v>0</x:v>
      </x:c>
      <x:c r="K147" t="n">
        <x:f>COUNTIFS(Grunnspill!$A:$A,Annex!B147)</x:f>
        <x:v>0</x:v>
      </x:c>
      <x:c r="L147" t="n">
        <x:f>COUNTIFS(Grunnspill!$A:$A,Annex!C147)</x:f>
        <x:v>0</x:v>
      </x:c>
      <x:c r="M147" t="n">
        <x:f>COUNTIFS(Grunnspill!$A:$A,Annex!D147)</x:f>
        <x:v>0</x:v>
      </x:c>
      <x:c r="N147" t="n">
        <x:f>COUNTIFS(Grunnspill!$A:$A,Annex!E147)</x:f>
        <x:v>0</x:v>
      </x:c>
      <x:c r="O147" t="n">
        <x:f>COUNTIFS(Grunnspill!$A:$A,Annex!F147)</x:f>
        <x:v>0</x:v>
      </x:c>
      <x:c r="P147" t="n">
        <x:f>COUNTIFS(Grunnspill!$A:$A,Annex!G147)</x:f>
        <x:v>0</x:v>
      </x:c>
      <x:c r="Q147" t="n">
        <x:f>COUNTIFS(Grunnspill!$A:$A,Annex!H147)</x:f>
        <x:v>0</x:v>
      </x:c>
      <x:c r="R147" t="n">
        <x:f>COUNTIFS(Grunnspill!$A:$A,Annex!I147)</x:f>
        <x:v>0</x:v>
      </x:c>
    </x:row>
    <x:row r="148">
      <x:c r="A148">
        <x:v>145</x:v>
      </x:c>
      <x:c r="B148" s="1" t="s">
        <x:v>115</x:v>
      </x:c>
      <x:c r="C148" s="1" t="s">
        <x:v>116</x:v>
      </x:c>
      <x:c r="D148" s="1" t="s">
        <x:v>124</x:v>
      </x:c>
      <x:c r="E148" s="1" t="s">
        <x:v>121</x:v>
      </x:c>
      <x:c r="F148" s="1" t="s">
        <x:v>112</x:v>
      </x:c>
      <x:c r="G148" s="1" t="s">
        <x:v>120</x:v>
      </x:c>
      <x:c r="H148" s="1" t="s">
        <x:v>111</x:v>
      </x:c>
      <x:c r="I148" s="1" t="s">
        <x:v>113</x:v>
      </x:c>
      <x:c r="J148">
        <x:f t="shared" si="3"/>
        <x:v>0</x:v>
      </x:c>
      <x:c r="K148" t="n">
        <x:f>COUNTIFS(Grunnspill!$A:$A,Annex!B148)</x:f>
        <x:v>0</x:v>
      </x:c>
      <x:c r="L148" t="n">
        <x:f>COUNTIFS(Grunnspill!$A:$A,Annex!C148)</x:f>
        <x:v>0</x:v>
      </x:c>
      <x:c r="M148" t="n">
        <x:f>COUNTIFS(Grunnspill!$A:$A,Annex!D148)</x:f>
        <x:v>0</x:v>
      </x:c>
      <x:c r="N148" t="n">
        <x:f>COUNTIFS(Grunnspill!$A:$A,Annex!E148)</x:f>
        <x:v>0</x:v>
      </x:c>
      <x:c r="O148" t="n">
        <x:f>COUNTIFS(Grunnspill!$A:$A,Annex!F148)</x:f>
        <x:v>0</x:v>
      </x:c>
      <x:c r="P148" t="n">
        <x:f>COUNTIFS(Grunnspill!$A:$A,Annex!G148)</x:f>
        <x:v>0</x:v>
      </x:c>
      <x:c r="Q148" t="n">
        <x:f>COUNTIFS(Grunnspill!$A:$A,Annex!H148)</x:f>
        <x:v>0</x:v>
      </x:c>
      <x:c r="R148" t="n">
        <x:f>COUNTIFS(Grunnspill!$A:$A,Annex!I148)</x:f>
        <x:v>0</x:v>
      </x:c>
    </x:row>
    <x:row r="149">
      <x:c r="A149">
        <x:v>146</x:v>
      </x:c>
      <x:c r="B149" s="1" t="s">
        <x:v>121</x:v>
      </x:c>
      <x:c r="C149" s="1" t="s">
        <x:v>112</x:v>
      </x:c>
      <x:c r="D149" s="1" t="s">
        <x:v>124</x:v>
      </x:c>
      <x:c r="E149" s="1" t="s">
        <x:v>120</x:v>
      </x:c>
      <x:c r="F149" s="1" t="s">
        <x:v>111</x:v>
      </x:c>
      <x:c r="G149" s="1" t="s">
        <x:v>114</x:v>
      </x:c>
      <x:c r="H149" s="1" t="s">
        <x:v>117</x:v>
      </x:c>
      <x:c r="I149" s="1" t="s">
        <x:v>118</x:v>
      </x:c>
      <x:c r="J149">
        <x:f t="shared" si="3"/>
        <x:v>0</x:v>
      </x:c>
      <x:c r="K149" t="n">
        <x:f>COUNTIFS(Grunnspill!$A:$A,Annex!B149)</x:f>
        <x:v>0</x:v>
      </x:c>
      <x:c r="L149" t="n">
        <x:f>COUNTIFS(Grunnspill!$A:$A,Annex!C149)</x:f>
        <x:v>0</x:v>
      </x:c>
      <x:c r="M149" t="n">
        <x:f>COUNTIFS(Grunnspill!$A:$A,Annex!D149)</x:f>
        <x:v>0</x:v>
      </x:c>
      <x:c r="N149" t="n">
        <x:f>COUNTIFS(Grunnspill!$A:$A,Annex!E149)</x:f>
        <x:v>0</x:v>
      </x:c>
      <x:c r="O149" t="n">
        <x:f>COUNTIFS(Grunnspill!$A:$A,Annex!F149)</x:f>
        <x:v>0</x:v>
      </x:c>
      <x:c r="P149" t="n">
        <x:f>COUNTIFS(Grunnspill!$A:$A,Annex!G149)</x:f>
        <x:v>0</x:v>
      </x:c>
      <x:c r="Q149" t="n">
        <x:f>COUNTIFS(Grunnspill!$A:$A,Annex!H149)</x:f>
        <x:v>0</x:v>
      </x:c>
      <x:c r="R149" t="n">
        <x:f>COUNTIFS(Grunnspill!$A:$A,Annex!I149)</x:f>
        <x:v>0</x:v>
      </x:c>
    </x:row>
    <x:row r="150">
      <x:c r="A150">
        <x:v>147</x:v>
      </x:c>
      <x:c r="B150" s="1" t="s">
        <x:v>121</x:v>
      </x:c>
      <x:c r="C150" s="1" t="s">
        <x:v>111</x:v>
      </x:c>
      <x:c r="D150" s="1" t="s">
        <x:v>124</x:v>
      </x:c>
      <x:c r="E150" s="1" t="s">
        <x:v>120</x:v>
      </x:c>
      <x:c r="F150" s="1" t="s">
        <x:v>113</x:v>
      </x:c>
      <x:c r="G150" s="1" t="s">
        <x:v>114</x:v>
      </x:c>
      <x:c r="H150" s="1" t="s">
        <x:v>117</x:v>
      </x:c>
      <x:c r="I150" s="1" t="s">
        <x:v>118</x:v>
      </x:c>
      <x:c r="J150" t="n">
        <x:f t="shared" ref="J150:J213" si="4">SUM(K150:R150)</x:f>
        <x:v>0</x:v>
      </x:c>
      <x:c r="K150" t="n">
        <x:f>COUNTIFS(Grunnspill!$A:$A,Annex!B150)</x:f>
        <x:v>0</x:v>
      </x:c>
      <x:c r="L150" t="n">
        <x:f>COUNTIFS(Grunnspill!$A:$A,Annex!C150)</x:f>
        <x:v>0</x:v>
      </x:c>
      <x:c r="M150" t="n">
        <x:f>COUNTIFS(Grunnspill!$A:$A,Annex!D150)</x:f>
        <x:v>0</x:v>
      </x:c>
      <x:c r="N150" t="n">
        <x:f>COUNTIFS(Grunnspill!$A:$A,Annex!E150)</x:f>
        <x:v>0</x:v>
      </x:c>
      <x:c r="O150" t="n">
        <x:f>COUNTIFS(Grunnspill!$A:$A,Annex!F150)</x:f>
        <x:v>0</x:v>
      </x:c>
      <x:c r="P150" t="n">
        <x:f>COUNTIFS(Grunnspill!$A:$A,Annex!G150)</x:f>
        <x:v>0</x:v>
      </x:c>
      <x:c r="Q150" t="n">
        <x:f>COUNTIFS(Grunnspill!$A:$A,Annex!H150)</x:f>
        <x:v>0</x:v>
      </x:c>
      <x:c r="R150" t="n">
        <x:f>COUNTIFS(Grunnspill!$A:$A,Annex!I150)</x:f>
        <x:v>0</x:v>
      </x:c>
    </x:row>
    <x:row r="151">
      <x:c r="A151">
        <x:v>148</x:v>
      </x:c>
      <x:c r="B151" s="1" t="s">
        <x:v>121</x:v>
      </x:c>
      <x:c r="C151" s="1" t="s">
        <x:v>112</x:v>
      </x:c>
      <x:c r="D151" s="1" t="s">
        <x:v>124</x:v>
      </x:c>
      <x:c r="E151" s="1" t="s">
        <x:v>120</x:v>
      </x:c>
      <x:c r="F151" s="1" t="s">
        <x:v>111</x:v>
      </x:c>
      <x:c r="G151" s="1" t="s">
        <x:v>114</x:v>
      </x:c>
      <x:c r="H151" s="1" t="s">
        <x:v>117</x:v>
      </x:c>
      <x:c r="I151" s="1" t="s">
        <x:v>113</x:v>
      </x:c>
      <x:c r="J151">
        <x:f t="shared" si="4"/>
        <x:v>0</x:v>
      </x:c>
      <x:c r="K151" t="n">
        <x:f>COUNTIFS(Grunnspill!$A:$A,Annex!B151)</x:f>
        <x:v>0</x:v>
      </x:c>
      <x:c r="L151" t="n">
        <x:f>COUNTIFS(Grunnspill!$A:$A,Annex!C151)</x:f>
        <x:v>0</x:v>
      </x:c>
      <x:c r="M151" t="n">
        <x:f>COUNTIFS(Grunnspill!$A:$A,Annex!D151)</x:f>
        <x:v>0</x:v>
      </x:c>
      <x:c r="N151" t="n">
        <x:f>COUNTIFS(Grunnspill!$A:$A,Annex!E151)</x:f>
        <x:v>0</x:v>
      </x:c>
      <x:c r="O151" t="n">
        <x:f>COUNTIFS(Grunnspill!$A:$A,Annex!F151)</x:f>
        <x:v>0</x:v>
      </x:c>
      <x:c r="P151" t="n">
        <x:f>COUNTIFS(Grunnspill!$A:$A,Annex!G151)</x:f>
        <x:v>0</x:v>
      </x:c>
      <x:c r="Q151" t="n">
        <x:f>COUNTIFS(Grunnspill!$A:$A,Annex!H151)</x:f>
        <x:v>0</x:v>
      </x:c>
      <x:c r="R151" t="n">
        <x:f>COUNTIFS(Grunnspill!$A:$A,Annex!I151)</x:f>
        <x:v>0</x:v>
      </x:c>
    </x:row>
    <x:row r="152">
      <x:c r="A152">
        <x:v>149</x:v>
      </x:c>
      <x:c r="B152" s="1" t="s">
        <x:v>121</x:v>
      </x:c>
      <x:c r="C152" s="1" t="s">
        <x:v>112</x:v>
      </x:c>
      <x:c r="D152" s="1" t="s">
        <x:v>124</x:v>
      </x:c>
      <x:c r="E152" s="1" t="s">
        <x:v>120</x:v>
      </x:c>
      <x:c r="F152" s="1" t="s">
        <x:v>111</x:v>
      </x:c>
      <x:c r="G152" s="1" t="s">
        <x:v>114</x:v>
      </x:c>
      <x:c r="H152" s="1" t="s">
        <x:v>113</x:v>
      </x:c>
      <x:c r="I152" s="1" t="s">
        <x:v>118</x:v>
      </x:c>
      <x:c r="J152">
        <x:f t="shared" si="4"/>
        <x:v>0</x:v>
      </x:c>
      <x:c r="K152" t="n">
        <x:f>COUNTIFS(Grunnspill!$A:$A,Annex!B152)</x:f>
        <x:v>0</x:v>
      </x:c>
      <x:c r="L152" t="n">
        <x:f>COUNTIFS(Grunnspill!$A:$A,Annex!C152)</x:f>
        <x:v>0</x:v>
      </x:c>
      <x:c r="M152" t="n">
        <x:f>COUNTIFS(Grunnspill!$A:$A,Annex!D152)</x:f>
        <x:v>0</x:v>
      </x:c>
      <x:c r="N152" t="n">
        <x:f>COUNTIFS(Grunnspill!$A:$A,Annex!E152)</x:f>
        <x:v>0</x:v>
      </x:c>
      <x:c r="O152" t="n">
        <x:f>COUNTIFS(Grunnspill!$A:$A,Annex!F152)</x:f>
        <x:v>0</x:v>
      </x:c>
      <x:c r="P152" t="n">
        <x:f>COUNTIFS(Grunnspill!$A:$A,Annex!G152)</x:f>
        <x:v>0</x:v>
      </x:c>
      <x:c r="Q152" t="n">
        <x:f>COUNTIFS(Grunnspill!$A:$A,Annex!H152)</x:f>
        <x:v>0</x:v>
      </x:c>
      <x:c r="R152" t="n">
        <x:f>COUNTIFS(Grunnspill!$A:$A,Annex!I152)</x:f>
        <x:v>0</x:v>
      </x:c>
    </x:row>
    <x:row r="153">
      <x:c r="A153">
        <x:v>150</x:v>
      </x:c>
      <x:c r="B153" s="1" t="s">
        <x:v>121</x:v>
      </x:c>
      <x:c r="C153" s="1" t="s">
        <x:v>111</x:v>
      </x:c>
      <x:c r="D153" s="1" t="s">
        <x:v>124</x:v>
      </x:c>
      <x:c r="E153" s="1" t="s">
        <x:v>120</x:v>
      </x:c>
      <x:c r="F153" s="1" t="s">
        <x:v>115</x:v>
      </x:c>
      <x:c r="G153" s="1" t="s">
        <x:v>114</x:v>
      </x:c>
      <x:c r="H153" s="1" t="s">
        <x:v>117</x:v>
      </x:c>
      <x:c r="I153" s="1" t="s">
        <x:v>118</x:v>
      </x:c>
      <x:c r="J153">
        <x:f t="shared" si="4"/>
        <x:v>0</x:v>
      </x:c>
      <x:c r="K153" t="n">
        <x:f>COUNTIFS(Grunnspill!$A:$A,Annex!B153)</x:f>
        <x:v>0</x:v>
      </x:c>
      <x:c r="L153" t="n">
        <x:f>COUNTIFS(Grunnspill!$A:$A,Annex!C153)</x:f>
        <x:v>0</x:v>
      </x:c>
      <x:c r="M153" t="n">
        <x:f>COUNTIFS(Grunnspill!$A:$A,Annex!D153)</x:f>
        <x:v>0</x:v>
      </x:c>
      <x:c r="N153" t="n">
        <x:f>COUNTIFS(Grunnspill!$A:$A,Annex!E153)</x:f>
        <x:v>0</x:v>
      </x:c>
      <x:c r="O153" t="n">
        <x:f>COUNTIFS(Grunnspill!$A:$A,Annex!F153)</x:f>
        <x:v>0</x:v>
      </x:c>
      <x:c r="P153" t="n">
        <x:f>COUNTIFS(Grunnspill!$A:$A,Annex!G153)</x:f>
        <x:v>0</x:v>
      </x:c>
      <x:c r="Q153" t="n">
        <x:f>COUNTIFS(Grunnspill!$A:$A,Annex!H153)</x:f>
        <x:v>0</x:v>
      </x:c>
      <x:c r="R153" t="n">
        <x:f>COUNTIFS(Grunnspill!$A:$A,Annex!I153)</x:f>
        <x:v>0</x:v>
      </x:c>
    </x:row>
    <x:row r="154">
      <x:c r="A154">
        <x:v>151</x:v>
      </x:c>
      <x:c r="B154" s="1" t="s">
        <x:v>121</x:v>
      </x:c>
      <x:c r="C154" s="1" t="s">
        <x:v>112</x:v>
      </x:c>
      <x:c r="D154" s="1" t="s">
        <x:v>124</x:v>
      </x:c>
      <x:c r="E154" s="1" t="s">
        <x:v>120</x:v>
      </x:c>
      <x:c r="F154" s="1" t="s">
        <x:v>115</x:v>
      </x:c>
      <x:c r="G154" s="1" t="s">
        <x:v>114</x:v>
      </x:c>
      <x:c r="H154" s="1" t="s">
        <x:v>117</x:v>
      </x:c>
      <x:c r="I154" s="1" t="s">
        <x:v>111</x:v>
      </x:c>
      <x:c r="J154">
        <x:f t="shared" si="4"/>
        <x:v>0</x:v>
      </x:c>
      <x:c r="K154" t="n">
        <x:f>COUNTIFS(Grunnspill!$A:$A,Annex!B154)</x:f>
        <x:v>0</x:v>
      </x:c>
      <x:c r="L154" t="n">
        <x:f>COUNTIFS(Grunnspill!$A:$A,Annex!C154)</x:f>
        <x:v>0</x:v>
      </x:c>
      <x:c r="M154" t="n">
        <x:f>COUNTIFS(Grunnspill!$A:$A,Annex!D154)</x:f>
        <x:v>0</x:v>
      </x:c>
      <x:c r="N154" t="n">
        <x:f>COUNTIFS(Grunnspill!$A:$A,Annex!E154)</x:f>
        <x:v>0</x:v>
      </x:c>
      <x:c r="O154" t="n">
        <x:f>COUNTIFS(Grunnspill!$A:$A,Annex!F154)</x:f>
        <x:v>0</x:v>
      </x:c>
      <x:c r="P154" t="n">
        <x:f>COUNTIFS(Grunnspill!$A:$A,Annex!G154)</x:f>
        <x:v>0</x:v>
      </x:c>
      <x:c r="Q154" t="n">
        <x:f>COUNTIFS(Grunnspill!$A:$A,Annex!H154)</x:f>
        <x:v>0</x:v>
      </x:c>
      <x:c r="R154" t="n">
        <x:f>COUNTIFS(Grunnspill!$A:$A,Annex!I154)</x:f>
        <x:v>0</x:v>
      </x:c>
    </x:row>
    <x:row r="155">
      <x:c r="A155">
        <x:v>152</x:v>
      </x:c>
      <x:c r="B155" s="1" t="s">
        <x:v>121</x:v>
      </x:c>
      <x:c r="C155" s="1" t="s">
        <x:v>112</x:v>
      </x:c>
      <x:c r="D155" s="1" t="s">
        <x:v>124</x:v>
      </x:c>
      <x:c r="E155" s="1" t="s">
        <x:v>120</x:v>
      </x:c>
      <x:c r="F155" s="1" t="s">
        <x:v>115</x:v>
      </x:c>
      <x:c r="G155" s="1" t="s">
        <x:v>114</x:v>
      </x:c>
      <x:c r="H155" s="1" t="s">
        <x:v>111</x:v>
      </x:c>
      <x:c r="I155" s="1" t="s">
        <x:v>118</x:v>
      </x:c>
      <x:c r="J155">
        <x:f t="shared" si="4"/>
        <x:v>0</x:v>
      </x:c>
      <x:c r="K155" t="n">
        <x:f>COUNTIFS(Grunnspill!$A:$A,Annex!B155)</x:f>
        <x:v>0</x:v>
      </x:c>
      <x:c r="L155" t="n">
        <x:f>COUNTIFS(Grunnspill!$A:$A,Annex!C155)</x:f>
        <x:v>0</x:v>
      </x:c>
      <x:c r="M155" t="n">
        <x:f>COUNTIFS(Grunnspill!$A:$A,Annex!D155)</x:f>
        <x:v>0</x:v>
      </x:c>
      <x:c r="N155" t="n">
        <x:f>COUNTIFS(Grunnspill!$A:$A,Annex!E155)</x:f>
        <x:v>0</x:v>
      </x:c>
      <x:c r="O155" t="n">
        <x:f>COUNTIFS(Grunnspill!$A:$A,Annex!F155)</x:f>
        <x:v>0</x:v>
      </x:c>
      <x:c r="P155" t="n">
        <x:f>COUNTIFS(Grunnspill!$A:$A,Annex!G155)</x:f>
        <x:v>0</x:v>
      </x:c>
      <x:c r="Q155" t="n">
        <x:f>COUNTIFS(Grunnspill!$A:$A,Annex!H155)</x:f>
        <x:v>0</x:v>
      </x:c>
      <x:c r="R155" t="n">
        <x:f>COUNTIFS(Grunnspill!$A:$A,Annex!I155)</x:f>
        <x:v>0</x:v>
      </x:c>
    </x:row>
    <x:row r="156">
      <x:c r="A156">
        <x:v>153</x:v>
      </x:c>
      <x:c r="B156" s="1" t="s">
        <x:v>121</x:v>
      </x:c>
      <x:c r="C156" s="1" t="s">
        <x:v>111</x:v>
      </x:c>
      <x:c r="D156" s="1" t="s">
        <x:v>124</x:v>
      </x:c>
      <x:c r="E156" s="1" t="s">
        <x:v>120</x:v>
      </x:c>
      <x:c r="F156" s="1" t="s">
        <x:v>115</x:v>
      </x:c>
      <x:c r="G156" s="1" t="s">
        <x:v>114</x:v>
      </x:c>
      <x:c r="H156" s="1" t="s">
        <x:v>117</x:v>
      </x:c>
      <x:c r="I156" s="1" t="s">
        <x:v>113</x:v>
      </x:c>
      <x:c r="J156">
        <x:f t="shared" si="4"/>
        <x:v>0</x:v>
      </x:c>
      <x:c r="K156" t="n">
        <x:f>COUNTIFS(Grunnspill!$A:$A,Annex!B156)</x:f>
        <x:v>0</x:v>
      </x:c>
      <x:c r="L156" t="n">
        <x:f>COUNTIFS(Grunnspill!$A:$A,Annex!C156)</x:f>
        <x:v>0</x:v>
      </x:c>
      <x:c r="M156" t="n">
        <x:f>COUNTIFS(Grunnspill!$A:$A,Annex!D156)</x:f>
        <x:v>0</x:v>
      </x:c>
      <x:c r="N156" t="n">
        <x:f>COUNTIFS(Grunnspill!$A:$A,Annex!E156)</x:f>
        <x:v>0</x:v>
      </x:c>
      <x:c r="O156" t="n">
        <x:f>COUNTIFS(Grunnspill!$A:$A,Annex!F156)</x:f>
        <x:v>0</x:v>
      </x:c>
      <x:c r="P156" t="n">
        <x:f>COUNTIFS(Grunnspill!$A:$A,Annex!G156)</x:f>
        <x:v>0</x:v>
      </x:c>
      <x:c r="Q156" t="n">
        <x:f>COUNTIFS(Grunnspill!$A:$A,Annex!H156)</x:f>
        <x:v>0</x:v>
      </x:c>
      <x:c r="R156" t="n">
        <x:f>COUNTIFS(Grunnspill!$A:$A,Annex!I156)</x:f>
        <x:v>0</x:v>
      </x:c>
    </x:row>
    <x:row r="157">
      <x:c r="A157">
        <x:v>154</x:v>
      </x:c>
      <x:c r="B157" s="1" t="s">
        <x:v>121</x:v>
      </x:c>
      <x:c r="C157" s="1" t="s">
        <x:v>111</x:v>
      </x:c>
      <x:c r="D157" s="1" t="s">
        <x:v>124</x:v>
      </x:c>
      <x:c r="E157" s="1" t="s">
        <x:v>120</x:v>
      </x:c>
      <x:c r="F157" s="1" t="s">
        <x:v>115</x:v>
      </x:c>
      <x:c r="G157" s="1" t="s">
        <x:v>114</x:v>
      </x:c>
      <x:c r="H157" s="1" t="s">
        <x:v>113</x:v>
      </x:c>
      <x:c r="I157" s="1" t="s">
        <x:v>118</x:v>
      </x:c>
      <x:c r="J157">
        <x:f t="shared" si="4"/>
        <x:v>0</x:v>
      </x:c>
      <x:c r="K157" t="n">
        <x:f>COUNTIFS(Grunnspill!$A:$A,Annex!B157)</x:f>
        <x:v>0</x:v>
      </x:c>
      <x:c r="L157" t="n">
        <x:f>COUNTIFS(Grunnspill!$A:$A,Annex!C157)</x:f>
        <x:v>0</x:v>
      </x:c>
      <x:c r="M157" t="n">
        <x:f>COUNTIFS(Grunnspill!$A:$A,Annex!D157)</x:f>
        <x:v>0</x:v>
      </x:c>
      <x:c r="N157" t="n">
        <x:f>COUNTIFS(Grunnspill!$A:$A,Annex!E157)</x:f>
        <x:v>0</x:v>
      </x:c>
      <x:c r="O157" t="n">
        <x:f>COUNTIFS(Grunnspill!$A:$A,Annex!F157)</x:f>
        <x:v>0</x:v>
      </x:c>
      <x:c r="P157" t="n">
        <x:f>COUNTIFS(Grunnspill!$A:$A,Annex!G157)</x:f>
        <x:v>0</x:v>
      </x:c>
      <x:c r="Q157" t="n">
        <x:f>COUNTIFS(Grunnspill!$A:$A,Annex!H157)</x:f>
        <x:v>0</x:v>
      </x:c>
      <x:c r="R157" t="n">
        <x:f>COUNTIFS(Grunnspill!$A:$A,Annex!I157)</x:f>
        <x:v>0</x:v>
      </x:c>
    </x:row>
    <x:row r="158">
      <x:c r="A158">
        <x:v>155</x:v>
      </x:c>
      <x:c r="B158" s="1" t="s">
        <x:v>121</x:v>
      </x:c>
      <x:c r="C158" s="1" t="s">
        <x:v>112</x:v>
      </x:c>
      <x:c r="D158" s="1" t="s">
        <x:v>124</x:v>
      </x:c>
      <x:c r="E158" s="1" t="s">
        <x:v>120</x:v>
      </x:c>
      <x:c r="F158" s="1" t="s">
        <x:v>115</x:v>
      </x:c>
      <x:c r="G158" s="1" t="s">
        <x:v>114</x:v>
      </x:c>
      <x:c r="H158" s="1" t="s">
        <x:v>111</x:v>
      </x:c>
      <x:c r="I158" s="1" t="s">
        <x:v>113</x:v>
      </x:c>
      <x:c r="J158">
        <x:f t="shared" si="4"/>
        <x:v>0</x:v>
      </x:c>
      <x:c r="K158" t="n">
        <x:f>COUNTIFS(Grunnspill!$A:$A,Annex!B158)</x:f>
        <x:v>0</x:v>
      </x:c>
      <x:c r="L158" t="n">
        <x:f>COUNTIFS(Grunnspill!$A:$A,Annex!C158)</x:f>
        <x:v>0</x:v>
      </x:c>
      <x:c r="M158" t="n">
        <x:f>COUNTIFS(Grunnspill!$A:$A,Annex!D158)</x:f>
        <x:v>0</x:v>
      </x:c>
      <x:c r="N158" t="n">
        <x:f>COUNTIFS(Grunnspill!$A:$A,Annex!E158)</x:f>
        <x:v>0</x:v>
      </x:c>
      <x:c r="O158" t="n">
        <x:f>COUNTIFS(Grunnspill!$A:$A,Annex!F158)</x:f>
        <x:v>0</x:v>
      </x:c>
      <x:c r="P158" t="n">
        <x:f>COUNTIFS(Grunnspill!$A:$A,Annex!G158)</x:f>
        <x:v>0</x:v>
      </x:c>
      <x:c r="Q158" t="n">
        <x:f>COUNTIFS(Grunnspill!$A:$A,Annex!H158)</x:f>
        <x:v>0</x:v>
      </x:c>
      <x:c r="R158" t="n">
        <x:f>COUNTIFS(Grunnspill!$A:$A,Annex!I158)</x:f>
        <x:v>0</x:v>
      </x:c>
    </x:row>
    <x:row r="159">
      <x:c r="A159">
        <x:v>156</x:v>
      </x:c>
      <x:c r="B159" s="1" t="s">
        <x:v>121</x:v>
      </x:c>
      <x:c r="C159" s="1" t="s">
        <x:v>116</x:v>
      </x:c>
      <x:c r="D159" s="1" t="s">
        <x:v>124</x:v>
      </x:c>
      <x:c r="E159" s="1" t="s">
        <x:v>120</x:v>
      </x:c>
      <x:c r="F159" s="1" t="s">
        <x:v>111</x:v>
      </x:c>
      <x:c r="G159" s="1" t="s">
        <x:v>114</x:v>
      </x:c>
      <x:c r="H159" s="1" t="s">
        <x:v>117</x:v>
      </x:c>
      <x:c r="I159" s="1" t="s">
        <x:v>118</x:v>
      </x:c>
      <x:c r="J159">
        <x:f t="shared" si="4"/>
        <x:v>0</x:v>
      </x:c>
      <x:c r="K159" t="n">
        <x:f>COUNTIFS(Grunnspill!$A:$A,Annex!B159)</x:f>
        <x:v>0</x:v>
      </x:c>
      <x:c r="L159" t="n">
        <x:f>COUNTIFS(Grunnspill!$A:$A,Annex!C159)</x:f>
        <x:v>0</x:v>
      </x:c>
      <x:c r="M159" t="n">
        <x:f>COUNTIFS(Grunnspill!$A:$A,Annex!D159)</x:f>
        <x:v>0</x:v>
      </x:c>
      <x:c r="N159" t="n">
        <x:f>COUNTIFS(Grunnspill!$A:$A,Annex!E159)</x:f>
        <x:v>0</x:v>
      </x:c>
      <x:c r="O159" t="n">
        <x:f>COUNTIFS(Grunnspill!$A:$A,Annex!F159)</x:f>
        <x:v>0</x:v>
      </x:c>
      <x:c r="P159" t="n">
        <x:f>COUNTIFS(Grunnspill!$A:$A,Annex!G159)</x:f>
        <x:v>0</x:v>
      </x:c>
      <x:c r="Q159" t="n">
        <x:f>COUNTIFS(Grunnspill!$A:$A,Annex!H159)</x:f>
        <x:v>0</x:v>
      </x:c>
      <x:c r="R159" t="n">
        <x:f>COUNTIFS(Grunnspill!$A:$A,Annex!I159)</x:f>
        <x:v>0</x:v>
      </x:c>
    </x:row>
    <x:row r="160">
      <x:c r="A160">
        <x:v>157</x:v>
      </x:c>
      <x:c r="B160" s="1" t="s">
        <x:v>121</x:v>
      </x:c>
      <x:c r="C160" s="1" t="s">
        <x:v>116</x:v>
      </x:c>
      <x:c r="D160" s="1" t="s">
        <x:v>124</x:v>
      </x:c>
      <x:c r="E160" s="1" t="s">
        <x:v>120</x:v>
      </x:c>
      <x:c r="F160" s="1" t="s">
        <x:v>112</x:v>
      </x:c>
      <x:c r="G160" s="1" t="s">
        <x:v>114</x:v>
      </x:c>
      <x:c r="H160" s="1" t="s">
        <x:v>117</x:v>
      </x:c>
      <x:c r="I160" s="1" t="s">
        <x:v>111</x:v>
      </x:c>
      <x:c r="J160">
        <x:f t="shared" si="4"/>
        <x:v>0</x:v>
      </x:c>
      <x:c r="K160" t="n">
        <x:f>COUNTIFS(Grunnspill!$A:$A,Annex!B160)</x:f>
        <x:v>0</x:v>
      </x:c>
      <x:c r="L160" t="n">
        <x:f>COUNTIFS(Grunnspill!$A:$A,Annex!C160)</x:f>
        <x:v>0</x:v>
      </x:c>
      <x:c r="M160" t="n">
        <x:f>COUNTIFS(Grunnspill!$A:$A,Annex!D160)</x:f>
        <x:v>0</x:v>
      </x:c>
      <x:c r="N160" t="n">
        <x:f>COUNTIFS(Grunnspill!$A:$A,Annex!E160)</x:f>
        <x:v>0</x:v>
      </x:c>
      <x:c r="O160" t="n">
        <x:f>COUNTIFS(Grunnspill!$A:$A,Annex!F160)</x:f>
        <x:v>0</x:v>
      </x:c>
      <x:c r="P160" t="n">
        <x:f>COUNTIFS(Grunnspill!$A:$A,Annex!G160)</x:f>
        <x:v>0</x:v>
      </x:c>
      <x:c r="Q160" t="n">
        <x:f>COUNTIFS(Grunnspill!$A:$A,Annex!H160)</x:f>
        <x:v>0</x:v>
      </x:c>
      <x:c r="R160" t="n">
        <x:f>COUNTIFS(Grunnspill!$A:$A,Annex!I160)</x:f>
        <x:v>0</x:v>
      </x:c>
    </x:row>
    <x:row r="161">
      <x:c r="A161">
        <x:v>158</x:v>
      </x:c>
      <x:c r="B161" s="1" t="s">
        <x:v>121</x:v>
      </x:c>
      <x:c r="C161" s="1" t="s">
        <x:v>116</x:v>
      </x:c>
      <x:c r="D161" s="1" t="s">
        <x:v>124</x:v>
      </x:c>
      <x:c r="E161" s="1" t="s">
        <x:v>120</x:v>
      </x:c>
      <x:c r="F161" s="1" t="s">
        <x:v>112</x:v>
      </x:c>
      <x:c r="G161" s="1" t="s">
        <x:v>114</x:v>
      </x:c>
      <x:c r="H161" s="1" t="s">
        <x:v>111</x:v>
      </x:c>
      <x:c r="I161" s="1" t="s">
        <x:v>118</x:v>
      </x:c>
      <x:c r="J161">
        <x:f t="shared" si="4"/>
        <x:v>0</x:v>
      </x:c>
      <x:c r="K161" t="n">
        <x:f>COUNTIFS(Grunnspill!$A:$A,Annex!B161)</x:f>
        <x:v>0</x:v>
      </x:c>
      <x:c r="L161" t="n">
        <x:f>COUNTIFS(Grunnspill!$A:$A,Annex!C161)</x:f>
        <x:v>0</x:v>
      </x:c>
      <x:c r="M161" t="n">
        <x:f>COUNTIFS(Grunnspill!$A:$A,Annex!D161)</x:f>
        <x:v>0</x:v>
      </x:c>
      <x:c r="N161" t="n">
        <x:f>COUNTIFS(Grunnspill!$A:$A,Annex!E161)</x:f>
        <x:v>0</x:v>
      </x:c>
      <x:c r="O161" t="n">
        <x:f>COUNTIFS(Grunnspill!$A:$A,Annex!F161)</x:f>
        <x:v>0</x:v>
      </x:c>
      <x:c r="P161" t="n">
        <x:f>COUNTIFS(Grunnspill!$A:$A,Annex!G161)</x:f>
        <x:v>0</x:v>
      </x:c>
      <x:c r="Q161" t="n">
        <x:f>COUNTIFS(Grunnspill!$A:$A,Annex!H161)</x:f>
        <x:v>0</x:v>
      </x:c>
      <x:c r="R161" t="n">
        <x:f>COUNTIFS(Grunnspill!$A:$A,Annex!I161)</x:f>
        <x:v>0</x:v>
      </x:c>
    </x:row>
    <x:row r="162">
      <x:c r="A162">
        <x:v>159</x:v>
      </x:c>
      <x:c r="B162" s="1" t="s">
        <x:v>121</x:v>
      </x:c>
      <x:c r="C162" s="1" t="s">
        <x:v>116</x:v>
      </x:c>
      <x:c r="D162" s="1" t="s">
        <x:v>124</x:v>
      </x:c>
      <x:c r="E162" s="1" t="s">
        <x:v>120</x:v>
      </x:c>
      <x:c r="F162" s="1" t="s">
        <x:v>111</x:v>
      </x:c>
      <x:c r="G162" s="1" t="s">
        <x:v>114</x:v>
      </x:c>
      <x:c r="H162" s="1" t="s">
        <x:v>117</x:v>
      </x:c>
      <x:c r="I162" s="1" t="s">
        <x:v>113</x:v>
      </x:c>
      <x:c r="J162">
        <x:f t="shared" si="4"/>
        <x:v>0</x:v>
      </x:c>
      <x:c r="K162" t="n">
        <x:f>COUNTIFS(Grunnspill!$A:$A,Annex!B162)</x:f>
        <x:v>0</x:v>
      </x:c>
      <x:c r="L162" t="n">
        <x:f>COUNTIFS(Grunnspill!$A:$A,Annex!C162)</x:f>
        <x:v>0</x:v>
      </x:c>
      <x:c r="M162" t="n">
        <x:f>COUNTIFS(Grunnspill!$A:$A,Annex!D162)</x:f>
        <x:v>0</x:v>
      </x:c>
      <x:c r="N162" t="n">
        <x:f>COUNTIFS(Grunnspill!$A:$A,Annex!E162)</x:f>
        <x:v>0</x:v>
      </x:c>
      <x:c r="O162" t="n">
        <x:f>COUNTIFS(Grunnspill!$A:$A,Annex!F162)</x:f>
        <x:v>0</x:v>
      </x:c>
      <x:c r="P162" t="n">
        <x:f>COUNTIFS(Grunnspill!$A:$A,Annex!G162)</x:f>
        <x:v>0</x:v>
      </x:c>
      <x:c r="Q162" t="n">
        <x:f>COUNTIFS(Grunnspill!$A:$A,Annex!H162)</x:f>
        <x:v>0</x:v>
      </x:c>
      <x:c r="R162" t="n">
        <x:f>COUNTIFS(Grunnspill!$A:$A,Annex!I162)</x:f>
        <x:v>0</x:v>
      </x:c>
    </x:row>
    <x:row r="163">
      <x:c r="A163">
        <x:v>160</x:v>
      </x:c>
      <x:c r="B163" s="1" t="s">
        <x:v>121</x:v>
      </x:c>
      <x:c r="C163" s="1" t="s">
        <x:v>116</x:v>
      </x:c>
      <x:c r="D163" s="1" t="s">
        <x:v>124</x:v>
      </x:c>
      <x:c r="E163" s="1" t="s">
        <x:v>120</x:v>
      </x:c>
      <x:c r="F163" s="1" t="s">
        <x:v>111</x:v>
      </x:c>
      <x:c r="G163" s="1" t="s">
        <x:v>114</x:v>
      </x:c>
      <x:c r="H163" s="1" t="s">
        <x:v>113</x:v>
      </x:c>
      <x:c r="I163" s="1" t="s">
        <x:v>118</x:v>
      </x:c>
      <x:c r="J163">
        <x:f t="shared" si="4"/>
        <x:v>0</x:v>
      </x:c>
      <x:c r="K163" t="n">
        <x:f>COUNTIFS(Grunnspill!$A:$A,Annex!B163)</x:f>
        <x:v>0</x:v>
      </x:c>
      <x:c r="L163" t="n">
        <x:f>COUNTIFS(Grunnspill!$A:$A,Annex!C163)</x:f>
        <x:v>0</x:v>
      </x:c>
      <x:c r="M163" t="n">
        <x:f>COUNTIFS(Grunnspill!$A:$A,Annex!D163)</x:f>
        <x:v>0</x:v>
      </x:c>
      <x:c r="N163" t="n">
        <x:f>COUNTIFS(Grunnspill!$A:$A,Annex!E163)</x:f>
        <x:v>0</x:v>
      </x:c>
      <x:c r="O163" t="n">
        <x:f>COUNTIFS(Grunnspill!$A:$A,Annex!F163)</x:f>
        <x:v>0</x:v>
      </x:c>
      <x:c r="P163" t="n">
        <x:f>COUNTIFS(Grunnspill!$A:$A,Annex!G163)</x:f>
        <x:v>0</x:v>
      </x:c>
      <x:c r="Q163" t="n">
        <x:f>COUNTIFS(Grunnspill!$A:$A,Annex!H163)</x:f>
        <x:v>0</x:v>
      </x:c>
      <x:c r="R163" t="n">
        <x:f>COUNTIFS(Grunnspill!$A:$A,Annex!I163)</x:f>
        <x:v>0</x:v>
      </x:c>
    </x:row>
    <x:row r="164">
      <x:c r="A164">
        <x:v>161</x:v>
      </x:c>
      <x:c r="B164" s="1" t="s">
        <x:v>121</x:v>
      </x:c>
      <x:c r="C164" s="1" t="s">
        <x:v>116</x:v>
      </x:c>
      <x:c r="D164" s="1" t="s">
        <x:v>124</x:v>
      </x:c>
      <x:c r="E164" s="1" t="s">
        <x:v>120</x:v>
      </x:c>
      <x:c r="F164" s="1" t="s">
        <x:v>112</x:v>
      </x:c>
      <x:c r="G164" s="1" t="s">
        <x:v>114</x:v>
      </x:c>
      <x:c r="H164" s="1" t="s">
        <x:v>111</x:v>
      </x:c>
      <x:c r="I164" s="1" t="s">
        <x:v>113</x:v>
      </x:c>
      <x:c r="J164">
        <x:f t="shared" si="4"/>
        <x:v>0</x:v>
      </x:c>
      <x:c r="K164" t="n">
        <x:f>COUNTIFS(Grunnspill!$A:$A,Annex!B164)</x:f>
        <x:v>0</x:v>
      </x:c>
      <x:c r="L164" t="n">
        <x:f>COUNTIFS(Grunnspill!$A:$A,Annex!C164)</x:f>
        <x:v>0</x:v>
      </x:c>
      <x:c r="M164" t="n">
        <x:f>COUNTIFS(Grunnspill!$A:$A,Annex!D164)</x:f>
        <x:v>0</x:v>
      </x:c>
      <x:c r="N164" t="n">
        <x:f>COUNTIFS(Grunnspill!$A:$A,Annex!E164)</x:f>
        <x:v>0</x:v>
      </x:c>
      <x:c r="O164" t="n">
        <x:f>COUNTIFS(Grunnspill!$A:$A,Annex!F164)</x:f>
        <x:v>0</x:v>
      </x:c>
      <x:c r="P164" t="n">
        <x:f>COUNTIFS(Grunnspill!$A:$A,Annex!G164)</x:f>
        <x:v>0</x:v>
      </x:c>
      <x:c r="Q164" t="n">
        <x:f>COUNTIFS(Grunnspill!$A:$A,Annex!H164)</x:f>
        <x:v>0</x:v>
      </x:c>
      <x:c r="R164" t="n">
        <x:f>COUNTIFS(Grunnspill!$A:$A,Annex!I164)</x:f>
        <x:v>0</x:v>
      </x:c>
    </x:row>
    <x:row r="165">
      <x:c r="A165">
        <x:v>162</x:v>
      </x:c>
      <x:c r="B165" s="1" t="s">
        <x:v>121</x:v>
      </x:c>
      <x:c r="C165" s="1" t="s">
        <x:v>116</x:v>
      </x:c>
      <x:c r="D165" s="1" t="s">
        <x:v>124</x:v>
      </x:c>
      <x:c r="E165" s="1" t="s">
        <x:v>120</x:v>
      </x:c>
      <x:c r="F165" s="1" t="s">
        <x:v>115</x:v>
      </x:c>
      <x:c r="G165" s="1" t="s">
        <x:v>114</x:v>
      </x:c>
      <x:c r="H165" s="1" t="s">
        <x:v>117</x:v>
      </x:c>
      <x:c r="I165" s="1" t="s">
        <x:v>111</x:v>
      </x:c>
      <x:c r="J165">
        <x:f t="shared" si="4"/>
        <x:v>0</x:v>
      </x:c>
      <x:c r="K165" t="n">
        <x:f>COUNTIFS(Grunnspill!$A:$A,Annex!B165)</x:f>
        <x:v>0</x:v>
      </x:c>
      <x:c r="L165" t="n">
        <x:f>COUNTIFS(Grunnspill!$A:$A,Annex!C165)</x:f>
        <x:v>0</x:v>
      </x:c>
      <x:c r="M165" t="n">
        <x:f>COUNTIFS(Grunnspill!$A:$A,Annex!D165)</x:f>
        <x:v>0</x:v>
      </x:c>
      <x:c r="N165" t="n">
        <x:f>COUNTIFS(Grunnspill!$A:$A,Annex!E165)</x:f>
        <x:v>0</x:v>
      </x:c>
      <x:c r="O165" t="n">
        <x:f>COUNTIFS(Grunnspill!$A:$A,Annex!F165)</x:f>
        <x:v>0</x:v>
      </x:c>
      <x:c r="P165" t="n">
        <x:f>COUNTIFS(Grunnspill!$A:$A,Annex!G165)</x:f>
        <x:v>0</x:v>
      </x:c>
      <x:c r="Q165" t="n">
        <x:f>COUNTIFS(Grunnspill!$A:$A,Annex!H165)</x:f>
        <x:v>0</x:v>
      </x:c>
      <x:c r="R165" t="n">
        <x:f>COUNTIFS(Grunnspill!$A:$A,Annex!I165)</x:f>
        <x:v>0</x:v>
      </x:c>
    </x:row>
    <x:row r="166">
      <x:c r="A166">
        <x:v>163</x:v>
      </x:c>
      <x:c r="B166" s="1" t="s">
        <x:v>121</x:v>
      </x:c>
      <x:c r="C166" s="1" t="s">
        <x:v>116</x:v>
      </x:c>
      <x:c r="D166" s="1" t="s">
        <x:v>124</x:v>
      </x:c>
      <x:c r="E166" s="1" t="s">
        <x:v>120</x:v>
      </x:c>
      <x:c r="F166" s="1" t="s">
        <x:v>115</x:v>
      </x:c>
      <x:c r="G166" s="1" t="s">
        <x:v>114</x:v>
      </x:c>
      <x:c r="H166" s="1" t="s">
        <x:v>111</x:v>
      </x:c>
      <x:c r="I166" s="1" t="s">
        <x:v>118</x:v>
      </x:c>
      <x:c r="J166">
        <x:f t="shared" si="4"/>
        <x:v>0</x:v>
      </x:c>
      <x:c r="K166" t="n">
        <x:f>COUNTIFS(Grunnspill!$A:$A,Annex!B166)</x:f>
        <x:v>0</x:v>
      </x:c>
      <x:c r="L166" t="n">
        <x:f>COUNTIFS(Grunnspill!$A:$A,Annex!C166)</x:f>
        <x:v>0</x:v>
      </x:c>
      <x:c r="M166" t="n">
        <x:f>COUNTIFS(Grunnspill!$A:$A,Annex!D166)</x:f>
        <x:v>0</x:v>
      </x:c>
      <x:c r="N166" t="n">
        <x:f>COUNTIFS(Grunnspill!$A:$A,Annex!E166)</x:f>
        <x:v>0</x:v>
      </x:c>
      <x:c r="O166" t="n">
        <x:f>COUNTIFS(Grunnspill!$A:$A,Annex!F166)</x:f>
        <x:v>0</x:v>
      </x:c>
      <x:c r="P166" t="n">
        <x:f>COUNTIFS(Grunnspill!$A:$A,Annex!G166)</x:f>
        <x:v>0</x:v>
      </x:c>
      <x:c r="Q166" t="n">
        <x:f>COUNTIFS(Grunnspill!$A:$A,Annex!H166)</x:f>
        <x:v>0</x:v>
      </x:c>
      <x:c r="R166" t="n">
        <x:f>COUNTIFS(Grunnspill!$A:$A,Annex!I166)</x:f>
        <x:v>0</x:v>
      </x:c>
    </x:row>
    <x:row r="167">
      <x:c r="A167">
        <x:v>164</x:v>
      </x:c>
      <x:c r="B167" s="1" t="s">
        <x:v>115</x:v>
      </x:c>
      <x:c r="C167" s="1" t="s">
        <x:v>116</x:v>
      </x:c>
      <x:c r="D167" s="1" t="s">
        <x:v>124</x:v>
      </x:c>
      <x:c r="E167" s="1" t="s">
        <x:v>121</x:v>
      </x:c>
      <x:c r="F167" s="1" t="s">
        <x:v>112</x:v>
      </x:c>
      <x:c r="G167" s="1" t="s">
        <x:v>114</x:v>
      </x:c>
      <x:c r="H167" s="1" t="s">
        <x:v>120</x:v>
      </x:c>
      <x:c r="I167" s="1" t="s">
        <x:v>111</x:v>
      </x:c>
      <x:c r="J167">
        <x:f t="shared" si="4"/>
        <x:v>0</x:v>
      </x:c>
      <x:c r="K167" t="n">
        <x:f>COUNTIFS(Grunnspill!$A:$A,Annex!B167)</x:f>
        <x:v>0</x:v>
      </x:c>
      <x:c r="L167" t="n">
        <x:f>COUNTIFS(Grunnspill!$A:$A,Annex!C167)</x:f>
        <x:v>0</x:v>
      </x:c>
      <x:c r="M167" t="n">
        <x:f>COUNTIFS(Grunnspill!$A:$A,Annex!D167)</x:f>
        <x:v>0</x:v>
      </x:c>
      <x:c r="N167" t="n">
        <x:f>COUNTIFS(Grunnspill!$A:$A,Annex!E167)</x:f>
        <x:v>0</x:v>
      </x:c>
      <x:c r="O167" t="n">
        <x:f>COUNTIFS(Grunnspill!$A:$A,Annex!F167)</x:f>
        <x:v>0</x:v>
      </x:c>
      <x:c r="P167" t="n">
        <x:f>COUNTIFS(Grunnspill!$A:$A,Annex!G167)</x:f>
        <x:v>0</x:v>
      </x:c>
      <x:c r="Q167" t="n">
        <x:f>COUNTIFS(Grunnspill!$A:$A,Annex!H167)</x:f>
        <x:v>0</x:v>
      </x:c>
      <x:c r="R167" t="n">
        <x:f>COUNTIFS(Grunnspill!$A:$A,Annex!I167)</x:f>
        <x:v>0</x:v>
      </x:c>
    </x:row>
    <x:row r="168">
      <x:c r="A168">
        <x:v>165</x:v>
      </x:c>
      <x:c r="B168" s="1" t="s">
        <x:v>121</x:v>
      </x:c>
      <x:c r="C168" s="1" t="s">
        <x:v>116</x:v>
      </x:c>
      <x:c r="D168" s="1" t="s">
        <x:v>124</x:v>
      </x:c>
      <x:c r="E168" s="1" t="s">
        <x:v>120</x:v>
      </x:c>
      <x:c r="F168" s="1" t="s">
        <x:v>115</x:v>
      </x:c>
      <x:c r="G168" s="1" t="s">
        <x:v>114</x:v>
      </x:c>
      <x:c r="H168" s="1" t="s">
        <x:v>111</x:v>
      </x:c>
      <x:c r="I168" s="1" t="s">
        <x:v>113</x:v>
      </x:c>
      <x:c r="J168">
        <x:f t="shared" si="4"/>
        <x:v>0</x:v>
      </x:c>
      <x:c r="K168" t="n">
        <x:f>COUNTIFS(Grunnspill!$A:$A,Annex!B168)</x:f>
        <x:v>0</x:v>
      </x:c>
      <x:c r="L168" t="n">
        <x:f>COUNTIFS(Grunnspill!$A:$A,Annex!C168)</x:f>
        <x:v>0</x:v>
      </x:c>
      <x:c r="M168" t="n">
        <x:f>COUNTIFS(Grunnspill!$A:$A,Annex!D168)</x:f>
        <x:v>0</x:v>
      </x:c>
      <x:c r="N168" t="n">
        <x:f>COUNTIFS(Grunnspill!$A:$A,Annex!E168)</x:f>
        <x:v>0</x:v>
      </x:c>
      <x:c r="O168" t="n">
        <x:f>COUNTIFS(Grunnspill!$A:$A,Annex!F168)</x:f>
        <x:v>0</x:v>
      </x:c>
      <x:c r="P168" t="n">
        <x:f>COUNTIFS(Grunnspill!$A:$A,Annex!G168)</x:f>
        <x:v>0</x:v>
      </x:c>
      <x:c r="Q168" t="n">
        <x:f>COUNTIFS(Grunnspill!$A:$A,Annex!H168)</x:f>
        <x:v>0</x:v>
      </x:c>
      <x:c r="R168" t="n">
        <x:f>COUNTIFS(Grunnspill!$A:$A,Annex!I168)</x:f>
        <x:v>0</x:v>
      </x:c>
    </x:row>
    <x:row r="169">
      <x:c r="A169">
        <x:v>166</x:v>
      </x:c>
      <x:c r="B169" s="1" t="s">
        <x:v>115</x:v>
      </x:c>
      <x:c r="C169" s="1" t="s">
        <x:v>112</x:v>
      </x:c>
      <x:c r="D169" s="1" t="s">
        <x:v>113</x:v>
      </x:c>
      <x:c r="E169" s="1" t="s">
        <x:v>114</x:v>
      </x:c>
      <x:c r="F169" s="1" t="s">
        <x:v>125</x:v>
      </x:c>
      <x:c r="G169" s="1" t="s">
        <x:v>116</x:v>
      </x:c>
      <x:c r="H169" s="1" t="s">
        <x:v>117</x:v>
      </x:c>
      <x:c r="I169" s="1" t="s">
        <x:v>118</x:v>
      </x:c>
      <x:c r="J169">
        <x:f t="shared" si="4"/>
        <x:v>0</x:v>
      </x:c>
      <x:c r="K169" t="n">
        <x:f>COUNTIFS(Grunnspill!$A:$A,Annex!B169)</x:f>
        <x:v>0</x:v>
      </x:c>
      <x:c r="L169" t="n">
        <x:f>COUNTIFS(Grunnspill!$A:$A,Annex!C169)</x:f>
        <x:v>0</x:v>
      </x:c>
      <x:c r="M169" t="n">
        <x:f>COUNTIFS(Grunnspill!$A:$A,Annex!D169)</x:f>
        <x:v>0</x:v>
      </x:c>
      <x:c r="N169" t="n">
        <x:f>COUNTIFS(Grunnspill!$A:$A,Annex!E169)</x:f>
        <x:v>0</x:v>
      </x:c>
      <x:c r="O169" t="n">
        <x:f>COUNTIFS(Grunnspill!$A:$A,Annex!F169)</x:f>
        <x:v>0</x:v>
      </x:c>
      <x:c r="P169" t="n">
        <x:f>COUNTIFS(Grunnspill!$A:$A,Annex!G169)</x:f>
        <x:v>0</x:v>
      </x:c>
      <x:c r="Q169" t="n">
        <x:f>COUNTIFS(Grunnspill!$A:$A,Annex!H169)</x:f>
        <x:v>0</x:v>
      </x:c>
      <x:c r="R169" t="n">
        <x:f>COUNTIFS(Grunnspill!$A:$A,Annex!I169)</x:f>
        <x:v>0</x:v>
      </x:c>
    </x:row>
    <x:row r="170">
      <x:c r="A170">
        <x:v>167</x:v>
      </x:c>
      <x:c r="B170" s="1" t="s">
        <x:v>111</x:v>
      </x:c>
      <x:c r="C170" s="1" t="s">
        <x:v>112</x:v>
      </x:c>
      <x:c r="D170" s="1" t="s">
        <x:v>113</x:v>
      </x:c>
      <x:c r="E170" s="1" t="s">
        <x:v>125</x:v>
      </x:c>
      <x:c r="F170" s="1" t="s">
        <x:v>115</x:v>
      </x:c>
      <x:c r="G170" s="1" t="s">
        <x:v>116</x:v>
      </x:c>
      <x:c r="H170" s="1" t="s">
        <x:v>117</x:v>
      </x:c>
      <x:c r="I170" s="1" t="s">
        <x:v>118</x:v>
      </x:c>
      <x:c r="J170">
        <x:f t="shared" si="4"/>
        <x:v>0</x:v>
      </x:c>
      <x:c r="K170" t="n">
        <x:f>COUNTIFS(Grunnspill!$A:$A,Annex!B170)</x:f>
        <x:v>0</x:v>
      </x:c>
      <x:c r="L170" t="n">
        <x:f>COUNTIFS(Grunnspill!$A:$A,Annex!C170)</x:f>
        <x:v>0</x:v>
      </x:c>
      <x:c r="M170" t="n">
        <x:f>COUNTIFS(Grunnspill!$A:$A,Annex!D170)</x:f>
        <x:v>0</x:v>
      </x:c>
      <x:c r="N170" t="n">
        <x:f>COUNTIFS(Grunnspill!$A:$A,Annex!E170)</x:f>
        <x:v>0</x:v>
      </x:c>
      <x:c r="O170" t="n">
        <x:f>COUNTIFS(Grunnspill!$A:$A,Annex!F170)</x:f>
        <x:v>0</x:v>
      </x:c>
      <x:c r="P170" t="n">
        <x:f>COUNTIFS(Grunnspill!$A:$A,Annex!G170)</x:f>
        <x:v>0</x:v>
      </x:c>
      <x:c r="Q170" t="n">
        <x:f>COUNTIFS(Grunnspill!$A:$A,Annex!H170)</x:f>
        <x:v>0</x:v>
      </x:c>
      <x:c r="R170" t="n">
        <x:f>COUNTIFS(Grunnspill!$A:$A,Annex!I170)</x:f>
        <x:v>0</x:v>
      </x:c>
    </x:row>
    <x:row r="171">
      <x:c r="A171">
        <x:v>168</x:v>
      </x:c>
      <x:c r="B171" s="1" t="s">
        <x:v>111</x:v>
      </x:c>
      <x:c r="C171" s="1" t="s">
        <x:v>112</x:v>
      </x:c>
      <x:c r="D171" s="1" t="s">
        <x:v>113</x:v>
      </x:c>
      <x:c r="E171" s="1" t="s">
        <x:v>114</x:v>
      </x:c>
      <x:c r="F171" s="1" t="s">
        <x:v>125</x:v>
      </x:c>
      <x:c r="G171" s="1" t="s">
        <x:v>115</x:v>
      </x:c>
      <x:c r="H171" s="1" t="s">
        <x:v>117</x:v>
      </x:c>
      <x:c r="I171" s="1" t="s">
        <x:v>118</x:v>
      </x:c>
      <x:c r="J171">
        <x:f t="shared" si="4"/>
        <x:v>0</x:v>
      </x:c>
      <x:c r="K171" t="n">
        <x:f>COUNTIFS(Grunnspill!$A:$A,Annex!B171)</x:f>
        <x:v>0</x:v>
      </x:c>
      <x:c r="L171" t="n">
        <x:f>COUNTIFS(Grunnspill!$A:$A,Annex!C171)</x:f>
        <x:v>0</x:v>
      </x:c>
      <x:c r="M171" t="n">
        <x:f>COUNTIFS(Grunnspill!$A:$A,Annex!D171)</x:f>
        <x:v>0</x:v>
      </x:c>
      <x:c r="N171" t="n">
        <x:f>COUNTIFS(Grunnspill!$A:$A,Annex!E171)</x:f>
        <x:v>0</x:v>
      </x:c>
      <x:c r="O171" t="n">
        <x:f>COUNTIFS(Grunnspill!$A:$A,Annex!F171)</x:f>
        <x:v>0</x:v>
      </x:c>
      <x:c r="P171" t="n">
        <x:f>COUNTIFS(Grunnspill!$A:$A,Annex!G171)</x:f>
        <x:v>0</x:v>
      </x:c>
      <x:c r="Q171" t="n">
        <x:f>COUNTIFS(Grunnspill!$A:$A,Annex!H171)</x:f>
        <x:v>0</x:v>
      </x:c>
      <x:c r="R171" t="n">
        <x:f>COUNTIFS(Grunnspill!$A:$A,Annex!I171)</x:f>
        <x:v>0</x:v>
      </x:c>
    </x:row>
    <x:row r="172">
      <x:c r="A172">
        <x:v>169</x:v>
      </x:c>
      <x:c r="B172" s="1" t="s">
        <x:v>111</x:v>
      </x:c>
      <x:c r="C172" s="1" t="s">
        <x:v>112</x:v>
      </x:c>
      <x:c r="D172" s="1" t="s">
        <x:v>113</x:v>
      </x:c>
      <x:c r="E172" s="1" t="s">
        <x:v>114</x:v>
      </x:c>
      <x:c r="F172" s="1" t="s">
        <x:v>125</x:v>
      </x:c>
      <x:c r="G172" s="1" t="s">
        <x:v>116</x:v>
      </x:c>
      <x:c r="H172" s="1" t="s">
        <x:v>117</x:v>
      </x:c>
      <x:c r="I172" s="1" t="s">
        <x:v>118</x:v>
      </x:c>
      <x:c r="J172">
        <x:f t="shared" si="4"/>
        <x:v>0</x:v>
      </x:c>
      <x:c r="K172" t="n">
        <x:f>COUNTIFS(Grunnspill!$A:$A,Annex!B172)</x:f>
        <x:v>0</x:v>
      </x:c>
      <x:c r="L172" t="n">
        <x:f>COUNTIFS(Grunnspill!$A:$A,Annex!C172)</x:f>
        <x:v>0</x:v>
      </x:c>
      <x:c r="M172" t="n">
        <x:f>COUNTIFS(Grunnspill!$A:$A,Annex!D172)</x:f>
        <x:v>0</x:v>
      </x:c>
      <x:c r="N172" t="n">
        <x:f>COUNTIFS(Grunnspill!$A:$A,Annex!E172)</x:f>
        <x:v>0</x:v>
      </x:c>
      <x:c r="O172" t="n">
        <x:f>COUNTIFS(Grunnspill!$A:$A,Annex!F172)</x:f>
        <x:v>0</x:v>
      </x:c>
      <x:c r="P172" t="n">
        <x:f>COUNTIFS(Grunnspill!$A:$A,Annex!G172)</x:f>
        <x:v>0</x:v>
      </x:c>
      <x:c r="Q172" t="n">
        <x:f>COUNTIFS(Grunnspill!$A:$A,Annex!H172)</x:f>
        <x:v>0</x:v>
      </x:c>
      <x:c r="R172" t="n">
        <x:f>COUNTIFS(Grunnspill!$A:$A,Annex!I172)</x:f>
        <x:v>0</x:v>
      </x:c>
    </x:row>
    <x:row r="173">
      <x:c r="A173">
        <x:v>170</x:v>
      </x:c>
      <x:c r="B173" s="1" t="s">
        <x:v>111</x:v>
      </x:c>
      <x:c r="C173" s="1" t="s">
        <x:v>116</x:v>
      </x:c>
      <x:c r="D173" s="1" t="s">
        <x:v>112</x:v>
      </x:c>
      <x:c r="E173" s="1" t="s">
        <x:v>114</x:v>
      </x:c>
      <x:c r="F173" s="1" t="s">
        <x:v>125</x:v>
      </x:c>
      <x:c r="G173" s="1" t="s">
        <x:v>115</x:v>
      </x:c>
      <x:c r="H173" s="1" t="s">
        <x:v>117</x:v>
      </x:c>
      <x:c r="I173" s="1" t="s">
        <x:v>118</x:v>
      </x:c>
      <x:c r="J173">
        <x:f t="shared" si="4"/>
        <x:v>0</x:v>
      </x:c>
      <x:c r="K173" t="n">
        <x:f>COUNTIFS(Grunnspill!$A:$A,Annex!B173)</x:f>
        <x:v>0</x:v>
      </x:c>
      <x:c r="L173" t="n">
        <x:f>COUNTIFS(Grunnspill!$A:$A,Annex!C173)</x:f>
        <x:v>0</x:v>
      </x:c>
      <x:c r="M173" t="n">
        <x:f>COUNTIFS(Grunnspill!$A:$A,Annex!D173)</x:f>
        <x:v>0</x:v>
      </x:c>
      <x:c r="N173" t="n">
        <x:f>COUNTIFS(Grunnspill!$A:$A,Annex!E173)</x:f>
        <x:v>0</x:v>
      </x:c>
      <x:c r="O173" t="n">
        <x:f>COUNTIFS(Grunnspill!$A:$A,Annex!F173)</x:f>
        <x:v>0</x:v>
      </x:c>
      <x:c r="P173" t="n">
        <x:f>COUNTIFS(Grunnspill!$A:$A,Annex!G173)</x:f>
        <x:v>0</x:v>
      </x:c>
      <x:c r="Q173" t="n">
        <x:f>COUNTIFS(Grunnspill!$A:$A,Annex!H173)</x:f>
        <x:v>0</x:v>
      </x:c>
      <x:c r="R173" t="n">
        <x:f>COUNTIFS(Grunnspill!$A:$A,Annex!I173)</x:f>
        <x:v>0</x:v>
      </x:c>
    </x:row>
    <x:row r="174">
      <x:c r="A174">
        <x:v>171</x:v>
      </x:c>
      <x:c r="B174" s="1" t="s">
        <x:v>111</x:v>
      </x:c>
      <x:c r="C174" s="1" t="s">
        <x:v>116</x:v>
      </x:c>
      <x:c r="D174" s="1" t="s">
        <x:v>113</x:v>
      </x:c>
      <x:c r="E174" s="1" t="s">
        <x:v>114</x:v>
      </x:c>
      <x:c r="F174" s="1" t="s">
        <x:v>125</x:v>
      </x:c>
      <x:c r="G174" s="1" t="s">
        <x:v>115</x:v>
      </x:c>
      <x:c r="H174" s="1" t="s">
        <x:v>117</x:v>
      </x:c>
      <x:c r="I174" s="1" t="s">
        <x:v>118</x:v>
      </x:c>
      <x:c r="J174">
        <x:f t="shared" si="4"/>
        <x:v>0</x:v>
      </x:c>
      <x:c r="K174" t="n">
        <x:f>COUNTIFS(Grunnspill!$A:$A,Annex!B174)</x:f>
        <x:v>0</x:v>
      </x:c>
      <x:c r="L174" t="n">
        <x:f>COUNTIFS(Grunnspill!$A:$A,Annex!C174)</x:f>
        <x:v>0</x:v>
      </x:c>
      <x:c r="M174" t="n">
        <x:f>COUNTIFS(Grunnspill!$A:$A,Annex!D174)</x:f>
        <x:v>0</x:v>
      </x:c>
      <x:c r="N174" t="n">
        <x:f>COUNTIFS(Grunnspill!$A:$A,Annex!E174)</x:f>
        <x:v>0</x:v>
      </x:c>
      <x:c r="O174" t="n">
        <x:f>COUNTIFS(Grunnspill!$A:$A,Annex!F174)</x:f>
        <x:v>0</x:v>
      </x:c>
      <x:c r="P174" t="n">
        <x:f>COUNTIFS(Grunnspill!$A:$A,Annex!G174)</x:f>
        <x:v>0</x:v>
      </x:c>
      <x:c r="Q174" t="n">
        <x:f>COUNTIFS(Grunnspill!$A:$A,Annex!H174)</x:f>
        <x:v>0</x:v>
      </x:c>
      <x:c r="R174" t="n">
        <x:f>COUNTIFS(Grunnspill!$A:$A,Annex!I174)</x:f>
        <x:v>0</x:v>
      </x:c>
    </x:row>
    <x:row r="175">
      <x:c r="A175">
        <x:v>172</x:v>
      </x:c>
      <x:c r="B175" s="1" t="s">
        <x:v>111</x:v>
      </x:c>
      <x:c r="C175" s="1" t="s">
        <x:v>116</x:v>
      </x:c>
      <x:c r="D175" s="1" t="s">
        <x:v>112</x:v>
      </x:c>
      <x:c r="E175" s="1" t="s">
        <x:v>114</x:v>
      </x:c>
      <x:c r="F175" s="1" t="s">
        <x:v>125</x:v>
      </x:c>
      <x:c r="G175" s="1" t="s">
        <x:v>115</x:v>
      </x:c>
      <x:c r="H175" s="1" t="s">
        <x:v>117</x:v>
      </x:c>
      <x:c r="I175" s="1" t="s">
        <x:v>113</x:v>
      </x:c>
      <x:c r="J175">
        <x:f t="shared" si="4"/>
        <x:v>0</x:v>
      </x:c>
      <x:c r="K175" t="n">
        <x:f>COUNTIFS(Grunnspill!$A:$A,Annex!B175)</x:f>
        <x:v>0</x:v>
      </x:c>
      <x:c r="L175" t="n">
        <x:f>COUNTIFS(Grunnspill!$A:$A,Annex!C175)</x:f>
        <x:v>0</x:v>
      </x:c>
      <x:c r="M175" t="n">
        <x:f>COUNTIFS(Grunnspill!$A:$A,Annex!D175)</x:f>
        <x:v>0</x:v>
      </x:c>
      <x:c r="N175" t="n">
        <x:f>COUNTIFS(Grunnspill!$A:$A,Annex!E175)</x:f>
        <x:v>0</x:v>
      </x:c>
      <x:c r="O175" t="n">
        <x:f>COUNTIFS(Grunnspill!$A:$A,Annex!F175)</x:f>
        <x:v>0</x:v>
      </x:c>
      <x:c r="P175" t="n">
        <x:f>COUNTIFS(Grunnspill!$A:$A,Annex!G175)</x:f>
        <x:v>0</x:v>
      </x:c>
      <x:c r="Q175" t="n">
        <x:f>COUNTIFS(Grunnspill!$A:$A,Annex!H175)</x:f>
        <x:v>0</x:v>
      </x:c>
      <x:c r="R175" t="n">
        <x:f>COUNTIFS(Grunnspill!$A:$A,Annex!I175)</x:f>
        <x:v>0</x:v>
      </x:c>
    </x:row>
    <x:row r="176">
      <x:c r="A176">
        <x:v>173</x:v>
      </x:c>
      <x:c r="B176" s="1" t="s">
        <x:v>111</x:v>
      </x:c>
      <x:c r="C176" s="1" t="s">
        <x:v>116</x:v>
      </x:c>
      <x:c r="D176" s="1" t="s">
        <x:v>112</x:v>
      </x:c>
      <x:c r="E176" s="1" t="s">
        <x:v>114</x:v>
      </x:c>
      <x:c r="F176" s="1" t="s">
        <x:v>125</x:v>
      </x:c>
      <x:c r="G176" s="1" t="s">
        <x:v>115</x:v>
      </x:c>
      <x:c r="H176" s="1" t="s">
        <x:v>113</x:v>
      </x:c>
      <x:c r="I176" s="1" t="s">
        <x:v>118</x:v>
      </x:c>
      <x:c r="J176">
        <x:f t="shared" si="4"/>
        <x:v>0</x:v>
      </x:c>
      <x:c r="K176" t="n">
        <x:f>COUNTIFS(Grunnspill!$A:$A,Annex!B176)</x:f>
        <x:v>0</x:v>
      </x:c>
      <x:c r="L176" t="n">
        <x:f>COUNTIFS(Grunnspill!$A:$A,Annex!C176)</x:f>
        <x:v>0</x:v>
      </x:c>
      <x:c r="M176" t="n">
        <x:f>COUNTIFS(Grunnspill!$A:$A,Annex!D176)</x:f>
        <x:v>0</x:v>
      </x:c>
      <x:c r="N176" t="n">
        <x:f>COUNTIFS(Grunnspill!$A:$A,Annex!E176)</x:f>
        <x:v>0</x:v>
      </x:c>
      <x:c r="O176" t="n">
        <x:f>COUNTIFS(Grunnspill!$A:$A,Annex!F176)</x:f>
        <x:v>0</x:v>
      </x:c>
      <x:c r="P176" t="n">
        <x:f>COUNTIFS(Grunnspill!$A:$A,Annex!G176)</x:f>
        <x:v>0</x:v>
      </x:c>
      <x:c r="Q176" t="n">
        <x:f>COUNTIFS(Grunnspill!$A:$A,Annex!H176)</x:f>
        <x:v>0</x:v>
      </x:c>
      <x:c r="R176" t="n">
        <x:f>COUNTIFS(Grunnspill!$A:$A,Annex!I176)</x:f>
        <x:v>0</x:v>
      </x:c>
    </x:row>
    <x:row r="177">
      <x:c r="A177">
        <x:v>174</x:v>
      </x:c>
      <x:c r="B177" s="1" t="s">
        <x:v>115</x:v>
      </x:c>
      <x:c r="C177" s="1" t="s">
        <x:v>112</x:v>
      </x:c>
      <x:c r="D177" s="1" t="s">
        <x:v>113</x:v>
      </x:c>
      <x:c r="E177" s="1" t="s">
        <x:v>120</x:v>
      </x:c>
      <x:c r="F177" s="1" t="s">
        <x:v>125</x:v>
      </x:c>
      <x:c r="G177" s="1" t="s">
        <x:v>116</x:v>
      </x:c>
      <x:c r="H177" s="1" t="s">
        <x:v>117</x:v>
      </x:c>
      <x:c r="I177" s="1" t="s">
        <x:v>118</x:v>
      </x:c>
      <x:c r="J177">
        <x:f t="shared" si="4"/>
        <x:v>0</x:v>
      </x:c>
      <x:c r="K177" t="n">
        <x:f>COUNTIFS(Grunnspill!$A:$A,Annex!B177)</x:f>
        <x:v>0</x:v>
      </x:c>
      <x:c r="L177" t="n">
        <x:f>COUNTIFS(Grunnspill!$A:$A,Annex!C177)</x:f>
        <x:v>0</x:v>
      </x:c>
      <x:c r="M177" t="n">
        <x:f>COUNTIFS(Grunnspill!$A:$A,Annex!D177)</x:f>
        <x:v>0</x:v>
      </x:c>
      <x:c r="N177" t="n">
        <x:f>COUNTIFS(Grunnspill!$A:$A,Annex!E177)</x:f>
        <x:v>0</x:v>
      </x:c>
      <x:c r="O177" t="n">
        <x:f>COUNTIFS(Grunnspill!$A:$A,Annex!F177)</x:f>
        <x:v>0</x:v>
      </x:c>
      <x:c r="P177" t="n">
        <x:f>COUNTIFS(Grunnspill!$A:$A,Annex!G177)</x:f>
        <x:v>0</x:v>
      </x:c>
      <x:c r="Q177" t="n">
        <x:f>COUNTIFS(Grunnspill!$A:$A,Annex!H177)</x:f>
        <x:v>0</x:v>
      </x:c>
      <x:c r="R177" t="n">
        <x:f>COUNTIFS(Grunnspill!$A:$A,Annex!I177)</x:f>
        <x:v>0</x:v>
      </x:c>
    </x:row>
    <x:row r="178">
      <x:c r="A178">
        <x:v>175</x:v>
      </x:c>
      <x:c r="B178" s="1" t="s">
        <x:v>115</x:v>
      </x:c>
      <x:c r="C178" s="1" t="s">
        <x:v>112</x:v>
      </x:c>
      <x:c r="D178" s="1" t="s">
        <x:v>113</x:v>
      </x:c>
      <x:c r="E178" s="1" t="s">
        <x:v>120</x:v>
      </x:c>
      <x:c r="F178" s="1" t="s">
        <x:v>125</x:v>
      </x:c>
      <x:c r="G178" s="1" t="s">
        <x:v>114</x:v>
      </x:c>
      <x:c r="H178" s="1" t="s">
        <x:v>117</x:v>
      </x:c>
      <x:c r="I178" s="1" t="s">
        <x:v>118</x:v>
      </x:c>
      <x:c r="J178">
        <x:f t="shared" si="4"/>
        <x:v>0</x:v>
      </x:c>
      <x:c r="K178" t="n">
        <x:f>COUNTIFS(Grunnspill!$A:$A,Annex!B178)</x:f>
        <x:v>0</x:v>
      </x:c>
      <x:c r="L178" t="n">
        <x:f>COUNTIFS(Grunnspill!$A:$A,Annex!C178)</x:f>
        <x:v>0</x:v>
      </x:c>
      <x:c r="M178" t="n">
        <x:f>COUNTIFS(Grunnspill!$A:$A,Annex!D178)</x:f>
        <x:v>0</x:v>
      </x:c>
      <x:c r="N178" t="n">
        <x:f>COUNTIFS(Grunnspill!$A:$A,Annex!E178)</x:f>
        <x:v>0</x:v>
      </x:c>
      <x:c r="O178" t="n">
        <x:f>COUNTIFS(Grunnspill!$A:$A,Annex!F178)</x:f>
        <x:v>0</x:v>
      </x:c>
      <x:c r="P178" t="n">
        <x:f>COUNTIFS(Grunnspill!$A:$A,Annex!G178)</x:f>
        <x:v>0</x:v>
      </x:c>
      <x:c r="Q178" t="n">
        <x:f>COUNTIFS(Grunnspill!$A:$A,Annex!H178)</x:f>
        <x:v>0</x:v>
      </x:c>
      <x:c r="R178" t="n">
        <x:f>COUNTIFS(Grunnspill!$A:$A,Annex!I178)</x:f>
        <x:v>0</x:v>
      </x:c>
    </x:row>
    <x:row r="179">
      <x:c r="A179">
        <x:v>176</x:v>
      </x:c>
      <x:c r="B179" s="1" t="s">
        <x:v>113</x:v>
      </x:c>
      <x:c r="C179" s="1" t="s">
        <x:v>116</x:v>
      </x:c>
      <x:c r="D179" s="1" t="s">
        <x:v>112</x:v>
      </x:c>
      <x:c r="E179" s="1" t="s">
        <x:v>120</x:v>
      </x:c>
      <x:c r="F179" s="1" t="s">
        <x:v>125</x:v>
      </x:c>
      <x:c r="G179" s="1" t="s">
        <x:v>114</x:v>
      </x:c>
      <x:c r="H179" s="1" t="s">
        <x:v>117</x:v>
      </x:c>
      <x:c r="I179" s="1" t="s">
        <x:v>118</x:v>
      </x:c>
      <x:c r="J179">
        <x:f t="shared" si="4"/>
        <x:v>0</x:v>
      </x:c>
      <x:c r="K179" t="n">
        <x:f>COUNTIFS(Grunnspill!$A:$A,Annex!B179)</x:f>
        <x:v>0</x:v>
      </x:c>
      <x:c r="L179" t="n">
        <x:f>COUNTIFS(Grunnspill!$A:$A,Annex!C179)</x:f>
        <x:v>0</x:v>
      </x:c>
      <x:c r="M179" t="n">
        <x:f>COUNTIFS(Grunnspill!$A:$A,Annex!D179)</x:f>
        <x:v>0</x:v>
      </x:c>
      <x:c r="N179" t="n">
        <x:f>COUNTIFS(Grunnspill!$A:$A,Annex!E179)</x:f>
        <x:v>0</x:v>
      </x:c>
      <x:c r="O179" t="n">
        <x:f>COUNTIFS(Grunnspill!$A:$A,Annex!F179)</x:f>
        <x:v>0</x:v>
      </x:c>
      <x:c r="P179" t="n">
        <x:f>COUNTIFS(Grunnspill!$A:$A,Annex!G179)</x:f>
        <x:v>0</x:v>
      </x:c>
      <x:c r="Q179" t="n">
        <x:f>COUNTIFS(Grunnspill!$A:$A,Annex!H179)</x:f>
        <x:v>0</x:v>
      </x:c>
      <x:c r="R179" t="n">
        <x:f>COUNTIFS(Grunnspill!$A:$A,Annex!I179)</x:f>
        <x:v>0</x:v>
      </x:c>
    </x:row>
    <x:row r="180">
      <x:c r="A180">
        <x:v>177</x:v>
      </x:c>
      <x:c r="B180" s="1" t="s">
        <x:v>115</x:v>
      </x:c>
      <x:c r="C180" s="1" t="s">
        <x:v>116</x:v>
      </x:c>
      <x:c r="D180" s="1" t="s">
        <x:v>112</x:v>
      </x:c>
      <x:c r="E180" s="1" t="s">
        <x:v>120</x:v>
      </x:c>
      <x:c r="F180" s="1" t="s">
        <x:v>125</x:v>
      </x:c>
      <x:c r="G180" s="1" t="s">
        <x:v>114</x:v>
      </x:c>
      <x:c r="H180" s="1" t="s">
        <x:v>117</x:v>
      </x:c>
      <x:c r="I180" s="1" t="s">
        <x:v>118</x:v>
      </x:c>
      <x:c r="J180">
        <x:f t="shared" si="4"/>
        <x:v>0</x:v>
      </x:c>
      <x:c r="K180" t="n">
        <x:f>COUNTIFS(Grunnspill!$A:$A,Annex!B180)</x:f>
        <x:v>0</x:v>
      </x:c>
      <x:c r="L180" t="n">
        <x:f>COUNTIFS(Grunnspill!$A:$A,Annex!C180)</x:f>
        <x:v>0</x:v>
      </x:c>
      <x:c r="M180" t="n">
        <x:f>COUNTIFS(Grunnspill!$A:$A,Annex!D180)</x:f>
        <x:v>0</x:v>
      </x:c>
      <x:c r="N180" t="n">
        <x:f>COUNTIFS(Grunnspill!$A:$A,Annex!E180)</x:f>
        <x:v>0</x:v>
      </x:c>
      <x:c r="O180" t="n">
        <x:f>COUNTIFS(Grunnspill!$A:$A,Annex!F180)</x:f>
        <x:v>0</x:v>
      </x:c>
      <x:c r="P180" t="n">
        <x:f>COUNTIFS(Grunnspill!$A:$A,Annex!G180)</x:f>
        <x:v>0</x:v>
      </x:c>
      <x:c r="Q180" t="n">
        <x:f>COUNTIFS(Grunnspill!$A:$A,Annex!H180)</x:f>
        <x:v>0</x:v>
      </x:c>
      <x:c r="R180" t="n">
        <x:f>COUNTIFS(Grunnspill!$A:$A,Annex!I180)</x:f>
        <x:v>0</x:v>
      </x:c>
    </x:row>
    <x:row r="181">
      <x:c r="A181">
        <x:v>178</x:v>
      </x:c>
      <x:c r="B181" s="1" t="s">
        <x:v>115</x:v>
      </x:c>
      <x:c r="C181" s="1" t="s">
        <x:v>116</x:v>
      </x:c>
      <x:c r="D181" s="1" t="s">
        <x:v>113</x:v>
      </x:c>
      <x:c r="E181" s="1" t="s">
        <x:v>120</x:v>
      </x:c>
      <x:c r="F181" s="1" t="s">
        <x:v>125</x:v>
      </x:c>
      <x:c r="G181" s="1" t="s">
        <x:v>114</x:v>
      </x:c>
      <x:c r="H181" s="1" t="s">
        <x:v>117</x:v>
      </x:c>
      <x:c r="I181" s="1" t="s">
        <x:v>118</x:v>
      </x:c>
      <x:c r="J181">
        <x:f t="shared" si="4"/>
        <x:v>0</x:v>
      </x:c>
      <x:c r="K181" t="n">
        <x:f>COUNTIFS(Grunnspill!$A:$A,Annex!B181)</x:f>
        <x:v>0</x:v>
      </x:c>
      <x:c r="L181" t="n">
        <x:f>COUNTIFS(Grunnspill!$A:$A,Annex!C181)</x:f>
        <x:v>0</x:v>
      </x:c>
      <x:c r="M181" t="n">
        <x:f>COUNTIFS(Grunnspill!$A:$A,Annex!D181)</x:f>
        <x:v>0</x:v>
      </x:c>
      <x:c r="N181" t="n">
        <x:f>COUNTIFS(Grunnspill!$A:$A,Annex!E181)</x:f>
        <x:v>0</x:v>
      </x:c>
      <x:c r="O181" t="n">
        <x:f>COUNTIFS(Grunnspill!$A:$A,Annex!F181)</x:f>
        <x:v>0</x:v>
      </x:c>
      <x:c r="P181" t="n">
        <x:f>COUNTIFS(Grunnspill!$A:$A,Annex!G181)</x:f>
        <x:v>0</x:v>
      </x:c>
      <x:c r="Q181" t="n">
        <x:f>COUNTIFS(Grunnspill!$A:$A,Annex!H181)</x:f>
        <x:v>0</x:v>
      </x:c>
      <x:c r="R181" t="n">
        <x:f>COUNTIFS(Grunnspill!$A:$A,Annex!I181)</x:f>
        <x:v>0</x:v>
      </x:c>
    </x:row>
    <x:row r="182">
      <x:c r="A182">
        <x:v>179</x:v>
      </x:c>
      <x:c r="B182" s="1" t="s">
        <x:v>115</x:v>
      </x:c>
      <x:c r="C182" s="1" t="s">
        <x:v>116</x:v>
      </x:c>
      <x:c r="D182" s="1" t="s">
        <x:v>112</x:v>
      </x:c>
      <x:c r="E182" s="1" t="s">
        <x:v>120</x:v>
      </x:c>
      <x:c r="F182" s="1" t="s">
        <x:v>125</x:v>
      </x:c>
      <x:c r="G182" s="1" t="s">
        <x:v>114</x:v>
      </x:c>
      <x:c r="H182" s="1" t="s">
        <x:v>117</x:v>
      </x:c>
      <x:c r="I182" s="1" t="s">
        <x:v>113</x:v>
      </x:c>
      <x:c r="J182">
        <x:f t="shared" si="4"/>
        <x:v>0</x:v>
      </x:c>
      <x:c r="K182" t="n">
        <x:f>COUNTIFS(Grunnspill!$A:$A,Annex!B182)</x:f>
        <x:v>0</x:v>
      </x:c>
      <x:c r="L182" t="n">
        <x:f>COUNTIFS(Grunnspill!$A:$A,Annex!C182)</x:f>
        <x:v>0</x:v>
      </x:c>
      <x:c r="M182" t="n">
        <x:f>COUNTIFS(Grunnspill!$A:$A,Annex!D182)</x:f>
        <x:v>0</x:v>
      </x:c>
      <x:c r="N182" t="n">
        <x:f>COUNTIFS(Grunnspill!$A:$A,Annex!E182)</x:f>
        <x:v>0</x:v>
      </x:c>
      <x:c r="O182" t="n">
        <x:f>COUNTIFS(Grunnspill!$A:$A,Annex!F182)</x:f>
        <x:v>0</x:v>
      </x:c>
      <x:c r="P182" t="n">
        <x:f>COUNTIFS(Grunnspill!$A:$A,Annex!G182)</x:f>
        <x:v>0</x:v>
      </x:c>
      <x:c r="Q182" t="n">
        <x:f>COUNTIFS(Grunnspill!$A:$A,Annex!H182)</x:f>
        <x:v>0</x:v>
      </x:c>
      <x:c r="R182" t="n">
        <x:f>COUNTIFS(Grunnspill!$A:$A,Annex!I182)</x:f>
        <x:v>0</x:v>
      </x:c>
    </x:row>
    <x:row r="183">
      <x:c r="A183">
        <x:v>180</x:v>
      </x:c>
      <x:c r="B183" s="1" t="s">
        <x:v>115</x:v>
      </x:c>
      <x:c r="C183" s="1" t="s">
        <x:v>116</x:v>
      </x:c>
      <x:c r="D183" s="1" t="s">
        <x:v>112</x:v>
      </x:c>
      <x:c r="E183" s="1" t="s">
        <x:v>120</x:v>
      </x:c>
      <x:c r="F183" s="1" t="s">
        <x:v>125</x:v>
      </x:c>
      <x:c r="G183" s="1" t="s">
        <x:v>114</x:v>
      </x:c>
      <x:c r="H183" s="1" t="s">
        <x:v>113</x:v>
      </x:c>
      <x:c r="I183" s="1" t="s">
        <x:v>118</x:v>
      </x:c>
      <x:c r="J183">
        <x:f t="shared" si="4"/>
        <x:v>0</x:v>
      </x:c>
      <x:c r="K183" t="n">
        <x:f>COUNTIFS(Grunnspill!$A:$A,Annex!B183)</x:f>
        <x:v>0</x:v>
      </x:c>
      <x:c r="L183" t="n">
        <x:f>COUNTIFS(Grunnspill!$A:$A,Annex!C183)</x:f>
        <x:v>0</x:v>
      </x:c>
      <x:c r="M183" t="n">
        <x:f>COUNTIFS(Grunnspill!$A:$A,Annex!D183)</x:f>
        <x:v>0</x:v>
      </x:c>
      <x:c r="N183" t="n">
        <x:f>COUNTIFS(Grunnspill!$A:$A,Annex!E183)</x:f>
        <x:v>0</x:v>
      </x:c>
      <x:c r="O183" t="n">
        <x:f>COUNTIFS(Grunnspill!$A:$A,Annex!F183)</x:f>
        <x:v>0</x:v>
      </x:c>
      <x:c r="P183" t="n">
        <x:f>COUNTIFS(Grunnspill!$A:$A,Annex!G183)</x:f>
        <x:v>0</x:v>
      </x:c>
      <x:c r="Q183" t="n">
        <x:f>COUNTIFS(Grunnspill!$A:$A,Annex!H183)</x:f>
        <x:v>0</x:v>
      </x:c>
      <x:c r="R183" t="n">
        <x:f>COUNTIFS(Grunnspill!$A:$A,Annex!I183)</x:f>
        <x:v>0</x:v>
      </x:c>
    </x:row>
    <x:row r="184">
      <x:c r="A184">
        <x:v>181</x:v>
      </x:c>
      <x:c r="B184" s="1" t="s">
        <x:v>111</x:v>
      </x:c>
      <x:c r="C184" s="1" t="s">
        <x:v>112</x:v>
      </x:c>
      <x:c r="D184" s="1" t="s">
        <x:v>113</x:v>
      </x:c>
      <x:c r="E184" s="1" t="s">
        <x:v>120</x:v>
      </x:c>
      <x:c r="F184" s="1" t="s">
        <x:v>125</x:v>
      </x:c>
      <x:c r="G184" s="1" t="s">
        <x:v>115</x:v>
      </x:c>
      <x:c r="H184" s="1" t="s">
        <x:v>117</x:v>
      </x:c>
      <x:c r="I184" s="1" t="s">
        <x:v>118</x:v>
      </x:c>
      <x:c r="J184">
        <x:f t="shared" si="4"/>
        <x:v>0</x:v>
      </x:c>
      <x:c r="K184" t="n">
        <x:f>COUNTIFS(Grunnspill!$A:$A,Annex!B184)</x:f>
        <x:v>0</x:v>
      </x:c>
      <x:c r="L184" t="n">
        <x:f>COUNTIFS(Grunnspill!$A:$A,Annex!C184)</x:f>
        <x:v>0</x:v>
      </x:c>
      <x:c r="M184" t="n">
        <x:f>COUNTIFS(Grunnspill!$A:$A,Annex!D184)</x:f>
        <x:v>0</x:v>
      </x:c>
      <x:c r="N184" t="n">
        <x:f>COUNTIFS(Grunnspill!$A:$A,Annex!E184)</x:f>
        <x:v>0</x:v>
      </x:c>
      <x:c r="O184" t="n">
        <x:f>COUNTIFS(Grunnspill!$A:$A,Annex!F184)</x:f>
        <x:v>0</x:v>
      </x:c>
      <x:c r="P184" t="n">
        <x:f>COUNTIFS(Grunnspill!$A:$A,Annex!G184)</x:f>
        <x:v>0</x:v>
      </x:c>
      <x:c r="Q184" t="n">
        <x:f>COUNTIFS(Grunnspill!$A:$A,Annex!H184)</x:f>
        <x:v>0</x:v>
      </x:c>
      <x:c r="R184" t="n">
        <x:f>COUNTIFS(Grunnspill!$A:$A,Annex!I184)</x:f>
        <x:v>0</x:v>
      </x:c>
    </x:row>
    <x:row r="185">
      <x:c r="A185">
        <x:v>182</x:v>
      </x:c>
      <x:c r="B185" s="1" t="s">
        <x:v>111</x:v>
      </x:c>
      <x:c r="C185" s="1" t="s">
        <x:v>112</x:v>
      </x:c>
      <x:c r="D185" s="1" t="s">
        <x:v>113</x:v>
      </x:c>
      <x:c r="E185" s="1" t="s">
        <x:v>120</x:v>
      </x:c>
      <x:c r="F185" s="1" t="s">
        <x:v>125</x:v>
      </x:c>
      <x:c r="G185" s="1" t="s">
        <x:v>116</x:v>
      </x:c>
      <x:c r="H185" s="1" t="s">
        <x:v>117</x:v>
      </x:c>
      <x:c r="I185" s="1" t="s">
        <x:v>118</x:v>
      </x:c>
      <x:c r="J185">
        <x:f t="shared" si="4"/>
        <x:v>0</x:v>
      </x:c>
      <x:c r="K185" t="n">
        <x:f>COUNTIFS(Grunnspill!$A:$A,Annex!B185)</x:f>
        <x:v>0</x:v>
      </x:c>
      <x:c r="L185" t="n">
        <x:f>COUNTIFS(Grunnspill!$A:$A,Annex!C185)</x:f>
        <x:v>0</x:v>
      </x:c>
      <x:c r="M185" t="n">
        <x:f>COUNTIFS(Grunnspill!$A:$A,Annex!D185)</x:f>
        <x:v>0</x:v>
      </x:c>
      <x:c r="N185" t="n">
        <x:f>COUNTIFS(Grunnspill!$A:$A,Annex!E185)</x:f>
        <x:v>0</x:v>
      </x:c>
      <x:c r="O185" t="n">
        <x:f>COUNTIFS(Grunnspill!$A:$A,Annex!F185)</x:f>
        <x:v>0</x:v>
      </x:c>
      <x:c r="P185" t="n">
        <x:f>COUNTIFS(Grunnspill!$A:$A,Annex!G185)</x:f>
        <x:v>0</x:v>
      </x:c>
      <x:c r="Q185" t="n">
        <x:f>COUNTIFS(Grunnspill!$A:$A,Annex!H185)</x:f>
        <x:v>0</x:v>
      </x:c>
      <x:c r="R185" t="n">
        <x:f>COUNTIFS(Grunnspill!$A:$A,Annex!I185)</x:f>
        <x:v>0</x:v>
      </x:c>
    </x:row>
    <x:row r="186">
      <x:c r="A186">
        <x:v>183</x:v>
      </x:c>
      <x:c r="B186" s="1" t="s">
        <x:v>111</x:v>
      </x:c>
      <x:c r="C186" s="1" t="s">
        <x:v>116</x:v>
      </x:c>
      <x:c r="D186" s="1" t="s">
        <x:v>112</x:v>
      </x:c>
      <x:c r="E186" s="1" t="s">
        <x:v>120</x:v>
      </x:c>
      <x:c r="F186" s="1" t="s">
        <x:v>125</x:v>
      </x:c>
      <x:c r="G186" s="1" t="s">
        <x:v>115</x:v>
      </x:c>
      <x:c r="H186" s="1" t="s">
        <x:v>117</x:v>
      </x:c>
      <x:c r="I186" s="1" t="s">
        <x:v>118</x:v>
      </x:c>
      <x:c r="J186">
        <x:f t="shared" si="4"/>
        <x:v>0</x:v>
      </x:c>
      <x:c r="K186" t="n">
        <x:f>COUNTIFS(Grunnspill!$A:$A,Annex!B186)</x:f>
        <x:v>0</x:v>
      </x:c>
      <x:c r="L186" t="n">
        <x:f>COUNTIFS(Grunnspill!$A:$A,Annex!C186)</x:f>
        <x:v>0</x:v>
      </x:c>
      <x:c r="M186" t="n">
        <x:f>COUNTIFS(Grunnspill!$A:$A,Annex!D186)</x:f>
        <x:v>0</x:v>
      </x:c>
      <x:c r="N186" t="n">
        <x:f>COUNTIFS(Grunnspill!$A:$A,Annex!E186)</x:f>
        <x:v>0</x:v>
      </x:c>
      <x:c r="O186" t="n">
        <x:f>COUNTIFS(Grunnspill!$A:$A,Annex!F186)</x:f>
        <x:v>0</x:v>
      </x:c>
      <x:c r="P186" t="n">
        <x:f>COUNTIFS(Grunnspill!$A:$A,Annex!G186)</x:f>
        <x:v>0</x:v>
      </x:c>
      <x:c r="Q186" t="n">
        <x:f>COUNTIFS(Grunnspill!$A:$A,Annex!H186)</x:f>
        <x:v>0</x:v>
      </x:c>
      <x:c r="R186" t="n">
        <x:f>COUNTIFS(Grunnspill!$A:$A,Annex!I186)</x:f>
        <x:v>0</x:v>
      </x:c>
    </x:row>
    <x:row r="187">
      <x:c r="A187">
        <x:v>184</x:v>
      </x:c>
      <x:c r="B187" s="1" t="s">
        <x:v>111</x:v>
      </x:c>
      <x:c r="C187" s="1" t="s">
        <x:v>116</x:v>
      </x:c>
      <x:c r="D187" s="1" t="s">
        <x:v>113</x:v>
      </x:c>
      <x:c r="E187" s="1" t="s">
        <x:v>120</x:v>
      </x:c>
      <x:c r="F187" s="1" t="s">
        <x:v>125</x:v>
      </x:c>
      <x:c r="G187" s="1" t="s">
        <x:v>115</x:v>
      </x:c>
      <x:c r="H187" s="1" t="s">
        <x:v>117</x:v>
      </x:c>
      <x:c r="I187" s="1" t="s">
        <x:v>118</x:v>
      </x:c>
      <x:c r="J187">
        <x:f t="shared" si="4"/>
        <x:v>0</x:v>
      </x:c>
      <x:c r="K187" t="n">
        <x:f>COUNTIFS(Grunnspill!$A:$A,Annex!B187)</x:f>
        <x:v>0</x:v>
      </x:c>
      <x:c r="L187" t="n">
        <x:f>COUNTIFS(Grunnspill!$A:$A,Annex!C187)</x:f>
        <x:v>0</x:v>
      </x:c>
      <x:c r="M187" t="n">
        <x:f>COUNTIFS(Grunnspill!$A:$A,Annex!D187)</x:f>
        <x:v>0</x:v>
      </x:c>
      <x:c r="N187" t="n">
        <x:f>COUNTIFS(Grunnspill!$A:$A,Annex!E187)</x:f>
        <x:v>0</x:v>
      </x:c>
      <x:c r="O187" t="n">
        <x:f>COUNTIFS(Grunnspill!$A:$A,Annex!F187)</x:f>
        <x:v>0</x:v>
      </x:c>
      <x:c r="P187" t="n">
        <x:f>COUNTIFS(Grunnspill!$A:$A,Annex!G187)</x:f>
        <x:v>0</x:v>
      </x:c>
      <x:c r="Q187" t="n">
        <x:f>COUNTIFS(Grunnspill!$A:$A,Annex!H187)</x:f>
        <x:v>0</x:v>
      </x:c>
      <x:c r="R187" t="n">
        <x:f>COUNTIFS(Grunnspill!$A:$A,Annex!I187)</x:f>
        <x:v>0</x:v>
      </x:c>
    </x:row>
    <x:row r="188">
      <x:c r="A188">
        <x:v>185</x:v>
      </x:c>
      <x:c r="B188" s="1" t="s">
        <x:v>111</x:v>
      </x:c>
      <x:c r="C188" s="1" t="s">
        <x:v>116</x:v>
      </x:c>
      <x:c r="D188" s="1" t="s">
        <x:v>112</x:v>
      </x:c>
      <x:c r="E188" s="1" t="s">
        <x:v>120</x:v>
      </x:c>
      <x:c r="F188" s="1" t="s">
        <x:v>125</x:v>
      </x:c>
      <x:c r="G188" s="1" t="s">
        <x:v>115</x:v>
      </x:c>
      <x:c r="H188" s="1" t="s">
        <x:v>117</x:v>
      </x:c>
      <x:c r="I188" s="1" t="s">
        <x:v>113</x:v>
      </x:c>
      <x:c r="J188">
        <x:f t="shared" si="4"/>
        <x:v>0</x:v>
      </x:c>
      <x:c r="K188" t="n">
        <x:f>COUNTIFS(Grunnspill!$A:$A,Annex!B188)</x:f>
        <x:v>0</x:v>
      </x:c>
      <x:c r="L188" t="n">
        <x:f>COUNTIFS(Grunnspill!$A:$A,Annex!C188)</x:f>
        <x:v>0</x:v>
      </x:c>
      <x:c r="M188" t="n">
        <x:f>COUNTIFS(Grunnspill!$A:$A,Annex!D188)</x:f>
        <x:v>0</x:v>
      </x:c>
      <x:c r="N188" t="n">
        <x:f>COUNTIFS(Grunnspill!$A:$A,Annex!E188)</x:f>
        <x:v>0</x:v>
      </x:c>
      <x:c r="O188" t="n">
        <x:f>COUNTIFS(Grunnspill!$A:$A,Annex!F188)</x:f>
        <x:v>0</x:v>
      </x:c>
      <x:c r="P188" t="n">
        <x:f>COUNTIFS(Grunnspill!$A:$A,Annex!G188)</x:f>
        <x:v>0</x:v>
      </x:c>
      <x:c r="Q188" t="n">
        <x:f>COUNTIFS(Grunnspill!$A:$A,Annex!H188)</x:f>
        <x:v>0</x:v>
      </x:c>
      <x:c r="R188" t="n">
        <x:f>COUNTIFS(Grunnspill!$A:$A,Annex!I188)</x:f>
        <x:v>0</x:v>
      </x:c>
    </x:row>
    <x:row r="189">
      <x:c r="A189">
        <x:v>186</x:v>
      </x:c>
      <x:c r="B189" s="1" t="s">
        <x:v>111</x:v>
      </x:c>
      <x:c r="C189" s="1" t="s">
        <x:v>116</x:v>
      </x:c>
      <x:c r="D189" s="1" t="s">
        <x:v>112</x:v>
      </x:c>
      <x:c r="E189" s="1" t="s">
        <x:v>120</x:v>
      </x:c>
      <x:c r="F189" s="1" t="s">
        <x:v>125</x:v>
      </x:c>
      <x:c r="G189" s="1" t="s">
        <x:v>115</x:v>
      </x:c>
      <x:c r="H189" s="1" t="s">
        <x:v>113</x:v>
      </x:c>
      <x:c r="I189" s="1" t="s">
        <x:v>118</x:v>
      </x:c>
      <x:c r="J189">
        <x:f t="shared" si="4"/>
        <x:v>0</x:v>
      </x:c>
      <x:c r="K189" t="n">
        <x:f>COUNTIFS(Grunnspill!$A:$A,Annex!B189)</x:f>
        <x:v>0</x:v>
      </x:c>
      <x:c r="L189" t="n">
        <x:f>COUNTIFS(Grunnspill!$A:$A,Annex!C189)</x:f>
        <x:v>0</x:v>
      </x:c>
      <x:c r="M189" t="n">
        <x:f>COUNTIFS(Grunnspill!$A:$A,Annex!D189)</x:f>
        <x:v>0</x:v>
      </x:c>
      <x:c r="N189" t="n">
        <x:f>COUNTIFS(Grunnspill!$A:$A,Annex!E189)</x:f>
        <x:v>0</x:v>
      </x:c>
      <x:c r="O189" t="n">
        <x:f>COUNTIFS(Grunnspill!$A:$A,Annex!F189)</x:f>
        <x:v>0</x:v>
      </x:c>
      <x:c r="P189" t="n">
        <x:f>COUNTIFS(Grunnspill!$A:$A,Annex!G189)</x:f>
        <x:v>0</x:v>
      </x:c>
      <x:c r="Q189" t="n">
        <x:f>COUNTIFS(Grunnspill!$A:$A,Annex!H189)</x:f>
        <x:v>0</x:v>
      </x:c>
      <x:c r="R189" t="n">
        <x:f>COUNTIFS(Grunnspill!$A:$A,Annex!I189)</x:f>
        <x:v>0</x:v>
      </x:c>
    </x:row>
    <x:row r="190">
      <x:c r="A190">
        <x:v>187</x:v>
      </x:c>
      <x:c r="B190" s="1" t="s">
        <x:v>111</x:v>
      </x:c>
      <x:c r="C190" s="1" t="s">
        <x:v>112</x:v>
      </x:c>
      <x:c r="D190" s="1" t="s">
        <x:v>113</x:v>
      </x:c>
      <x:c r="E190" s="1" t="s">
        <x:v>120</x:v>
      </x:c>
      <x:c r="F190" s="1" t="s">
        <x:v>125</x:v>
      </x:c>
      <x:c r="G190" s="1" t="s">
        <x:v>114</x:v>
      </x:c>
      <x:c r="H190" s="1" t="s">
        <x:v>117</x:v>
      </x:c>
      <x:c r="I190" s="1" t="s">
        <x:v>118</x:v>
      </x:c>
      <x:c r="J190">
        <x:f t="shared" si="4"/>
        <x:v>0</x:v>
      </x:c>
      <x:c r="K190" t="n">
        <x:f>COUNTIFS(Grunnspill!$A:$A,Annex!B190)</x:f>
        <x:v>0</x:v>
      </x:c>
      <x:c r="L190" t="n">
        <x:f>COUNTIFS(Grunnspill!$A:$A,Annex!C190)</x:f>
        <x:v>0</x:v>
      </x:c>
      <x:c r="M190" t="n">
        <x:f>COUNTIFS(Grunnspill!$A:$A,Annex!D190)</x:f>
        <x:v>0</x:v>
      </x:c>
      <x:c r="N190" t="n">
        <x:f>COUNTIFS(Grunnspill!$A:$A,Annex!E190)</x:f>
        <x:v>0</x:v>
      </x:c>
      <x:c r="O190" t="n">
        <x:f>COUNTIFS(Grunnspill!$A:$A,Annex!F190)</x:f>
        <x:v>0</x:v>
      </x:c>
      <x:c r="P190" t="n">
        <x:f>COUNTIFS(Grunnspill!$A:$A,Annex!G190)</x:f>
        <x:v>0</x:v>
      </x:c>
      <x:c r="Q190" t="n">
        <x:f>COUNTIFS(Grunnspill!$A:$A,Annex!H190)</x:f>
        <x:v>0</x:v>
      </x:c>
      <x:c r="R190" t="n">
        <x:f>COUNTIFS(Grunnspill!$A:$A,Annex!I190)</x:f>
        <x:v>0</x:v>
      </x:c>
    </x:row>
    <x:row r="191">
      <x:c r="A191">
        <x:v>188</x:v>
      </x:c>
      <x:c r="B191" s="1" t="s">
        <x:v>115</x:v>
      </x:c>
      <x:c r="C191" s="1" t="s">
        <x:v>112</x:v>
      </x:c>
      <x:c r="D191" s="1" t="s">
        <x:v>111</x:v>
      </x:c>
      <x:c r="E191" s="1" t="s">
        <x:v>120</x:v>
      </x:c>
      <x:c r="F191" s="1" t="s">
        <x:v>125</x:v>
      </x:c>
      <x:c r="G191" s="1" t="s">
        <x:v>114</x:v>
      </x:c>
      <x:c r="H191" s="1" t="s">
        <x:v>117</x:v>
      </x:c>
      <x:c r="I191" s="1" t="s">
        <x:v>118</x:v>
      </x:c>
      <x:c r="J191">
        <x:f t="shared" si="4"/>
        <x:v>0</x:v>
      </x:c>
      <x:c r="K191" t="n">
        <x:f>COUNTIFS(Grunnspill!$A:$A,Annex!B191)</x:f>
        <x:v>0</x:v>
      </x:c>
      <x:c r="L191" t="n">
        <x:f>COUNTIFS(Grunnspill!$A:$A,Annex!C191)</x:f>
        <x:v>0</x:v>
      </x:c>
      <x:c r="M191" t="n">
        <x:f>COUNTIFS(Grunnspill!$A:$A,Annex!D191)</x:f>
        <x:v>0</x:v>
      </x:c>
      <x:c r="N191" t="n">
        <x:f>COUNTIFS(Grunnspill!$A:$A,Annex!E191)</x:f>
        <x:v>0</x:v>
      </x:c>
      <x:c r="O191" t="n">
        <x:f>COUNTIFS(Grunnspill!$A:$A,Annex!F191)</x:f>
        <x:v>0</x:v>
      </x:c>
      <x:c r="P191" t="n">
        <x:f>COUNTIFS(Grunnspill!$A:$A,Annex!G191)</x:f>
        <x:v>0</x:v>
      </x:c>
      <x:c r="Q191" t="n">
        <x:f>COUNTIFS(Grunnspill!$A:$A,Annex!H191)</x:f>
        <x:v>0</x:v>
      </x:c>
      <x:c r="R191" t="n">
        <x:f>COUNTIFS(Grunnspill!$A:$A,Annex!I191)</x:f>
        <x:v>0</x:v>
      </x:c>
    </x:row>
    <x:row r="192">
      <x:c r="A192">
        <x:v>189</x:v>
      </x:c>
      <x:c r="B192" s="1" t="s">
        <x:v>115</x:v>
      </x:c>
      <x:c r="C192" s="1" t="s">
        <x:v>111</x:v>
      </x:c>
      <x:c r="D192" s="1" t="s">
        <x:v>113</x:v>
      </x:c>
      <x:c r="E192" s="1" t="s">
        <x:v>120</x:v>
      </x:c>
      <x:c r="F192" s="1" t="s">
        <x:v>125</x:v>
      </x:c>
      <x:c r="G192" s="1" t="s">
        <x:v>114</x:v>
      </x:c>
      <x:c r="H192" s="1" t="s">
        <x:v>117</x:v>
      </x:c>
      <x:c r="I192" s="1" t="s">
        <x:v>118</x:v>
      </x:c>
      <x:c r="J192">
        <x:f t="shared" si="4"/>
        <x:v>0</x:v>
      </x:c>
      <x:c r="K192" t="n">
        <x:f>COUNTIFS(Grunnspill!$A:$A,Annex!B192)</x:f>
        <x:v>0</x:v>
      </x:c>
      <x:c r="L192" t="n">
        <x:f>COUNTIFS(Grunnspill!$A:$A,Annex!C192)</x:f>
        <x:v>0</x:v>
      </x:c>
      <x:c r="M192" t="n">
        <x:f>COUNTIFS(Grunnspill!$A:$A,Annex!D192)</x:f>
        <x:v>0</x:v>
      </x:c>
      <x:c r="N192" t="n">
        <x:f>COUNTIFS(Grunnspill!$A:$A,Annex!E192)</x:f>
        <x:v>0</x:v>
      </x:c>
      <x:c r="O192" t="n">
        <x:f>COUNTIFS(Grunnspill!$A:$A,Annex!F192)</x:f>
        <x:v>0</x:v>
      </x:c>
      <x:c r="P192" t="n">
        <x:f>COUNTIFS(Grunnspill!$A:$A,Annex!G192)</x:f>
        <x:v>0</x:v>
      </x:c>
      <x:c r="Q192" t="n">
        <x:f>COUNTIFS(Grunnspill!$A:$A,Annex!H192)</x:f>
        <x:v>0</x:v>
      </x:c>
      <x:c r="R192" t="n">
        <x:f>COUNTIFS(Grunnspill!$A:$A,Annex!I192)</x:f>
        <x:v>0</x:v>
      </x:c>
    </x:row>
    <x:row r="193">
      <x:c r="A193">
        <x:v>190</x:v>
      </x:c>
      <x:c r="B193" s="1" t="s">
        <x:v>115</x:v>
      </x:c>
      <x:c r="C193" s="1" t="s">
        <x:v>112</x:v>
      </x:c>
      <x:c r="D193" s="1" t="s">
        <x:v>111</x:v>
      </x:c>
      <x:c r="E193" s="1" t="s">
        <x:v>120</x:v>
      </x:c>
      <x:c r="F193" s="1" t="s">
        <x:v>125</x:v>
      </x:c>
      <x:c r="G193" s="1" t="s">
        <x:v>114</x:v>
      </x:c>
      <x:c r="H193" s="1" t="s">
        <x:v>117</x:v>
      </x:c>
      <x:c r="I193" s="1" t="s">
        <x:v>113</x:v>
      </x:c>
      <x:c r="J193">
        <x:f t="shared" si="4"/>
        <x:v>0</x:v>
      </x:c>
      <x:c r="K193" t="n">
        <x:f>COUNTIFS(Grunnspill!$A:$A,Annex!B193)</x:f>
        <x:v>0</x:v>
      </x:c>
      <x:c r="L193" t="n">
        <x:f>COUNTIFS(Grunnspill!$A:$A,Annex!C193)</x:f>
        <x:v>0</x:v>
      </x:c>
      <x:c r="M193" t="n">
        <x:f>COUNTIFS(Grunnspill!$A:$A,Annex!D193)</x:f>
        <x:v>0</x:v>
      </x:c>
      <x:c r="N193" t="n">
        <x:f>COUNTIFS(Grunnspill!$A:$A,Annex!E193)</x:f>
        <x:v>0</x:v>
      </x:c>
      <x:c r="O193" t="n">
        <x:f>COUNTIFS(Grunnspill!$A:$A,Annex!F193)</x:f>
        <x:v>0</x:v>
      </x:c>
      <x:c r="P193" t="n">
        <x:f>COUNTIFS(Grunnspill!$A:$A,Annex!G193)</x:f>
        <x:v>0</x:v>
      </x:c>
      <x:c r="Q193" t="n">
        <x:f>COUNTIFS(Grunnspill!$A:$A,Annex!H193)</x:f>
        <x:v>0</x:v>
      </x:c>
      <x:c r="R193" t="n">
        <x:f>COUNTIFS(Grunnspill!$A:$A,Annex!I193)</x:f>
        <x:v>0</x:v>
      </x:c>
    </x:row>
    <x:row r="194">
      <x:c r="A194">
        <x:v>191</x:v>
      </x:c>
      <x:c r="B194" s="1" t="s">
        <x:v>115</x:v>
      </x:c>
      <x:c r="C194" s="1" t="s">
        <x:v>112</x:v>
      </x:c>
      <x:c r="D194" s="1" t="s">
        <x:v>111</x:v>
      </x:c>
      <x:c r="E194" s="1" t="s">
        <x:v>120</x:v>
      </x:c>
      <x:c r="F194" s="1" t="s">
        <x:v>125</x:v>
      </x:c>
      <x:c r="G194" s="1" t="s">
        <x:v>114</x:v>
      </x:c>
      <x:c r="H194" s="1" t="s">
        <x:v>113</x:v>
      </x:c>
      <x:c r="I194" s="1" t="s">
        <x:v>118</x:v>
      </x:c>
      <x:c r="J194">
        <x:f t="shared" si="4"/>
        <x:v>0</x:v>
      </x:c>
      <x:c r="K194" t="n">
        <x:f>COUNTIFS(Grunnspill!$A:$A,Annex!B194)</x:f>
        <x:v>0</x:v>
      </x:c>
      <x:c r="L194" t="n">
        <x:f>COUNTIFS(Grunnspill!$A:$A,Annex!C194)</x:f>
        <x:v>0</x:v>
      </x:c>
      <x:c r="M194" t="n">
        <x:f>COUNTIFS(Grunnspill!$A:$A,Annex!D194)</x:f>
        <x:v>0</x:v>
      </x:c>
      <x:c r="N194" t="n">
        <x:f>COUNTIFS(Grunnspill!$A:$A,Annex!E194)</x:f>
        <x:v>0</x:v>
      </x:c>
      <x:c r="O194" t="n">
        <x:f>COUNTIFS(Grunnspill!$A:$A,Annex!F194)</x:f>
        <x:v>0</x:v>
      </x:c>
      <x:c r="P194" t="n">
        <x:f>COUNTIFS(Grunnspill!$A:$A,Annex!G194)</x:f>
        <x:v>0</x:v>
      </x:c>
      <x:c r="Q194" t="n">
        <x:f>COUNTIFS(Grunnspill!$A:$A,Annex!H194)</x:f>
        <x:v>0</x:v>
      </x:c>
      <x:c r="R194" t="n">
        <x:f>COUNTIFS(Grunnspill!$A:$A,Annex!I194)</x:f>
        <x:v>0</x:v>
      </x:c>
    </x:row>
    <x:row r="195">
      <x:c r="A195">
        <x:v>192</x:v>
      </x:c>
      <x:c r="B195" s="1" t="s">
        <x:v>111</x:v>
      </x:c>
      <x:c r="C195" s="1" t="s">
        <x:v>116</x:v>
      </x:c>
      <x:c r="D195" s="1" t="s">
        <x:v>112</x:v>
      </x:c>
      <x:c r="E195" s="1" t="s">
        <x:v>120</x:v>
      </x:c>
      <x:c r="F195" s="1" t="s">
        <x:v>125</x:v>
      </x:c>
      <x:c r="G195" s="1" t="s">
        <x:v>114</x:v>
      </x:c>
      <x:c r="H195" s="1" t="s">
        <x:v>117</x:v>
      </x:c>
      <x:c r="I195" s="1" t="s">
        <x:v>118</x:v>
      </x:c>
      <x:c r="J195">
        <x:f t="shared" si="4"/>
        <x:v>0</x:v>
      </x:c>
      <x:c r="K195" t="n">
        <x:f>COUNTIFS(Grunnspill!$A:$A,Annex!B195)</x:f>
        <x:v>0</x:v>
      </x:c>
      <x:c r="L195" t="n">
        <x:f>COUNTIFS(Grunnspill!$A:$A,Annex!C195)</x:f>
        <x:v>0</x:v>
      </x:c>
      <x:c r="M195" t="n">
        <x:f>COUNTIFS(Grunnspill!$A:$A,Annex!D195)</x:f>
        <x:v>0</x:v>
      </x:c>
      <x:c r="N195" t="n">
        <x:f>COUNTIFS(Grunnspill!$A:$A,Annex!E195)</x:f>
        <x:v>0</x:v>
      </x:c>
      <x:c r="O195" t="n">
        <x:f>COUNTIFS(Grunnspill!$A:$A,Annex!F195)</x:f>
        <x:v>0</x:v>
      </x:c>
      <x:c r="P195" t="n">
        <x:f>COUNTIFS(Grunnspill!$A:$A,Annex!G195)</x:f>
        <x:v>0</x:v>
      </x:c>
      <x:c r="Q195" t="n">
        <x:f>COUNTIFS(Grunnspill!$A:$A,Annex!H195)</x:f>
        <x:v>0</x:v>
      </x:c>
      <x:c r="R195" t="n">
        <x:f>COUNTIFS(Grunnspill!$A:$A,Annex!I195)</x:f>
        <x:v>0</x:v>
      </x:c>
    </x:row>
    <x:row r="196">
      <x:c r="A196">
        <x:v>193</x:v>
      </x:c>
      <x:c r="B196" s="1" t="s">
        <x:v>111</x:v>
      </x:c>
      <x:c r="C196" s="1" t="s">
        <x:v>116</x:v>
      </x:c>
      <x:c r="D196" s="1" t="s">
        <x:v>113</x:v>
      </x:c>
      <x:c r="E196" s="1" t="s">
        <x:v>120</x:v>
      </x:c>
      <x:c r="F196" s="1" t="s">
        <x:v>125</x:v>
      </x:c>
      <x:c r="G196" s="1" t="s">
        <x:v>114</x:v>
      </x:c>
      <x:c r="H196" s="1" t="s">
        <x:v>117</x:v>
      </x:c>
      <x:c r="I196" s="1" t="s">
        <x:v>118</x:v>
      </x:c>
      <x:c r="J196">
        <x:f t="shared" si="4"/>
        <x:v>0</x:v>
      </x:c>
      <x:c r="K196" t="n">
        <x:f>COUNTIFS(Grunnspill!$A:$A,Annex!B196)</x:f>
        <x:v>0</x:v>
      </x:c>
      <x:c r="L196" t="n">
        <x:f>COUNTIFS(Grunnspill!$A:$A,Annex!C196)</x:f>
        <x:v>0</x:v>
      </x:c>
      <x:c r="M196" t="n">
        <x:f>COUNTIFS(Grunnspill!$A:$A,Annex!D196)</x:f>
        <x:v>0</x:v>
      </x:c>
      <x:c r="N196" t="n">
        <x:f>COUNTIFS(Grunnspill!$A:$A,Annex!E196)</x:f>
        <x:v>0</x:v>
      </x:c>
      <x:c r="O196" t="n">
        <x:f>COUNTIFS(Grunnspill!$A:$A,Annex!F196)</x:f>
        <x:v>0</x:v>
      </x:c>
      <x:c r="P196" t="n">
        <x:f>COUNTIFS(Grunnspill!$A:$A,Annex!G196)</x:f>
        <x:v>0</x:v>
      </x:c>
      <x:c r="Q196" t="n">
        <x:f>COUNTIFS(Grunnspill!$A:$A,Annex!H196)</x:f>
        <x:v>0</x:v>
      </x:c>
      <x:c r="R196" t="n">
        <x:f>COUNTIFS(Grunnspill!$A:$A,Annex!I196)</x:f>
        <x:v>0</x:v>
      </x:c>
    </x:row>
    <x:row r="197">
      <x:c r="A197">
        <x:v>194</x:v>
      </x:c>
      <x:c r="B197" s="1" t="s">
        <x:v>111</x:v>
      </x:c>
      <x:c r="C197" s="1" t="s">
        <x:v>116</x:v>
      </x:c>
      <x:c r="D197" s="1" t="s">
        <x:v>112</x:v>
      </x:c>
      <x:c r="E197" s="1" t="s">
        <x:v>120</x:v>
      </x:c>
      <x:c r="F197" s="1" t="s">
        <x:v>125</x:v>
      </x:c>
      <x:c r="G197" s="1" t="s">
        <x:v>114</x:v>
      </x:c>
      <x:c r="H197" s="1" t="s">
        <x:v>117</x:v>
      </x:c>
      <x:c r="I197" s="1" t="s">
        <x:v>113</x:v>
      </x:c>
      <x:c r="J197">
        <x:f t="shared" si="4"/>
        <x:v>0</x:v>
      </x:c>
      <x:c r="K197" t="n">
        <x:f>COUNTIFS(Grunnspill!$A:$A,Annex!B197)</x:f>
        <x:v>0</x:v>
      </x:c>
      <x:c r="L197" t="n">
        <x:f>COUNTIFS(Grunnspill!$A:$A,Annex!C197)</x:f>
        <x:v>0</x:v>
      </x:c>
      <x:c r="M197" t="n">
        <x:f>COUNTIFS(Grunnspill!$A:$A,Annex!D197)</x:f>
        <x:v>0</x:v>
      </x:c>
      <x:c r="N197" t="n">
        <x:f>COUNTIFS(Grunnspill!$A:$A,Annex!E197)</x:f>
        <x:v>0</x:v>
      </x:c>
      <x:c r="O197" t="n">
        <x:f>COUNTIFS(Grunnspill!$A:$A,Annex!F197)</x:f>
        <x:v>0</x:v>
      </x:c>
      <x:c r="P197" t="n">
        <x:f>COUNTIFS(Grunnspill!$A:$A,Annex!G197)</x:f>
        <x:v>0</x:v>
      </x:c>
      <x:c r="Q197" t="n">
        <x:f>COUNTIFS(Grunnspill!$A:$A,Annex!H197)</x:f>
        <x:v>0</x:v>
      </x:c>
      <x:c r="R197" t="n">
        <x:f>COUNTIFS(Grunnspill!$A:$A,Annex!I197)</x:f>
        <x:v>0</x:v>
      </x:c>
    </x:row>
    <x:row r="198">
      <x:c r="A198">
        <x:v>195</x:v>
      </x:c>
      <x:c r="B198" s="1" t="s">
        <x:v>111</x:v>
      </x:c>
      <x:c r="C198" s="1" t="s">
        <x:v>116</x:v>
      </x:c>
      <x:c r="D198" s="1" t="s">
        <x:v>112</x:v>
      </x:c>
      <x:c r="E198" s="1" t="s">
        <x:v>120</x:v>
      </x:c>
      <x:c r="F198" s="1" t="s">
        <x:v>125</x:v>
      </x:c>
      <x:c r="G198" s="1" t="s">
        <x:v>114</x:v>
      </x:c>
      <x:c r="H198" s="1" t="s">
        <x:v>113</x:v>
      </x:c>
      <x:c r="I198" s="1" t="s">
        <x:v>118</x:v>
      </x:c>
      <x:c r="J198">
        <x:f t="shared" si="4"/>
        <x:v>0</x:v>
      </x:c>
      <x:c r="K198" t="n">
        <x:f>COUNTIFS(Grunnspill!$A:$A,Annex!B198)</x:f>
        <x:v>0</x:v>
      </x:c>
      <x:c r="L198" t="n">
        <x:f>COUNTIFS(Grunnspill!$A:$A,Annex!C198)</x:f>
        <x:v>0</x:v>
      </x:c>
      <x:c r="M198" t="n">
        <x:f>COUNTIFS(Grunnspill!$A:$A,Annex!D198)</x:f>
        <x:v>0</x:v>
      </x:c>
      <x:c r="N198" t="n">
        <x:f>COUNTIFS(Grunnspill!$A:$A,Annex!E198)</x:f>
        <x:v>0</x:v>
      </x:c>
      <x:c r="O198" t="n">
        <x:f>COUNTIFS(Grunnspill!$A:$A,Annex!F198)</x:f>
        <x:v>0</x:v>
      </x:c>
      <x:c r="P198" t="n">
        <x:f>COUNTIFS(Grunnspill!$A:$A,Annex!G198)</x:f>
        <x:v>0</x:v>
      </x:c>
      <x:c r="Q198" t="n">
        <x:f>COUNTIFS(Grunnspill!$A:$A,Annex!H198)</x:f>
        <x:v>0</x:v>
      </x:c>
      <x:c r="R198" t="n">
        <x:f>COUNTIFS(Grunnspill!$A:$A,Annex!I198)</x:f>
        <x:v>0</x:v>
      </x:c>
    </x:row>
    <x:row r="199">
      <x:c r="A199">
        <x:v>196</x:v>
      </x:c>
      <x:c r="B199" s="1" t="s">
        <x:v>115</x:v>
      </x:c>
      <x:c r="C199" s="1" t="s">
        <x:v>116</x:v>
      </x:c>
      <x:c r="D199" s="1" t="s">
        <x:v>111</x:v>
      </x:c>
      <x:c r="E199" s="1" t="s">
        <x:v>120</x:v>
      </x:c>
      <x:c r="F199" s="1" t="s">
        <x:v>125</x:v>
      </x:c>
      <x:c r="G199" s="1" t="s">
        <x:v>114</x:v>
      </x:c>
      <x:c r="H199" s="1" t="s">
        <x:v>117</x:v>
      </x:c>
      <x:c r="I199" s="1" t="s">
        <x:v>118</x:v>
      </x:c>
      <x:c r="J199">
        <x:f t="shared" si="4"/>
        <x:v>0</x:v>
      </x:c>
      <x:c r="K199" t="n">
        <x:f>COUNTIFS(Grunnspill!$A:$A,Annex!B199)</x:f>
        <x:v>0</x:v>
      </x:c>
      <x:c r="L199" t="n">
        <x:f>COUNTIFS(Grunnspill!$A:$A,Annex!C199)</x:f>
        <x:v>0</x:v>
      </x:c>
      <x:c r="M199" t="n">
        <x:f>COUNTIFS(Grunnspill!$A:$A,Annex!D199)</x:f>
        <x:v>0</x:v>
      </x:c>
      <x:c r="N199" t="n">
        <x:f>COUNTIFS(Grunnspill!$A:$A,Annex!E199)</x:f>
        <x:v>0</x:v>
      </x:c>
      <x:c r="O199" t="n">
        <x:f>COUNTIFS(Grunnspill!$A:$A,Annex!F199)</x:f>
        <x:v>0</x:v>
      </x:c>
      <x:c r="P199" t="n">
        <x:f>COUNTIFS(Grunnspill!$A:$A,Annex!G199)</x:f>
        <x:v>0</x:v>
      </x:c>
      <x:c r="Q199" t="n">
        <x:f>COUNTIFS(Grunnspill!$A:$A,Annex!H199)</x:f>
        <x:v>0</x:v>
      </x:c>
      <x:c r="R199" t="n">
        <x:f>COUNTIFS(Grunnspill!$A:$A,Annex!I199)</x:f>
        <x:v>0</x:v>
      </x:c>
    </x:row>
    <x:row r="200">
      <x:c r="A200">
        <x:v>197</x:v>
      </x:c>
      <x:c r="B200" s="1" t="s">
        <x:v>115</x:v>
      </x:c>
      <x:c r="C200" s="1" t="s">
        <x:v>116</x:v>
      </x:c>
      <x:c r="D200" s="1" t="s">
        <x:v>112</x:v>
      </x:c>
      <x:c r="E200" s="1" t="s">
        <x:v>120</x:v>
      </x:c>
      <x:c r="F200" s="1" t="s">
        <x:v>125</x:v>
      </x:c>
      <x:c r="G200" s="1" t="s">
        <x:v>114</x:v>
      </x:c>
      <x:c r="H200" s="1" t="s">
        <x:v>117</x:v>
      </x:c>
      <x:c r="I200" s="1" t="s">
        <x:v>111</x:v>
      </x:c>
      <x:c r="J200">
        <x:f t="shared" si="4"/>
        <x:v>0</x:v>
      </x:c>
      <x:c r="K200" t="n">
        <x:f>COUNTIFS(Grunnspill!$A:$A,Annex!B200)</x:f>
        <x:v>0</x:v>
      </x:c>
      <x:c r="L200" t="n">
        <x:f>COUNTIFS(Grunnspill!$A:$A,Annex!C200)</x:f>
        <x:v>0</x:v>
      </x:c>
      <x:c r="M200" t="n">
        <x:f>COUNTIFS(Grunnspill!$A:$A,Annex!D200)</x:f>
        <x:v>0</x:v>
      </x:c>
      <x:c r="N200" t="n">
        <x:f>COUNTIFS(Grunnspill!$A:$A,Annex!E200)</x:f>
        <x:v>0</x:v>
      </x:c>
      <x:c r="O200" t="n">
        <x:f>COUNTIFS(Grunnspill!$A:$A,Annex!F200)</x:f>
        <x:v>0</x:v>
      </x:c>
      <x:c r="P200" t="n">
        <x:f>COUNTIFS(Grunnspill!$A:$A,Annex!G200)</x:f>
        <x:v>0</x:v>
      </x:c>
      <x:c r="Q200" t="n">
        <x:f>COUNTIFS(Grunnspill!$A:$A,Annex!H200)</x:f>
        <x:v>0</x:v>
      </x:c>
      <x:c r="R200" t="n">
        <x:f>COUNTIFS(Grunnspill!$A:$A,Annex!I200)</x:f>
        <x:v>0</x:v>
      </x:c>
    </x:row>
    <x:row r="201">
      <x:c r="A201">
        <x:v>198</x:v>
      </x:c>
      <x:c r="B201" s="1" t="s">
        <x:v>115</x:v>
      </x:c>
      <x:c r="C201" s="1" t="s">
        <x:v>116</x:v>
      </x:c>
      <x:c r="D201" s="1" t="s">
        <x:v>112</x:v>
      </x:c>
      <x:c r="E201" s="1" t="s">
        <x:v>120</x:v>
      </x:c>
      <x:c r="F201" s="1" t="s">
        <x:v>125</x:v>
      </x:c>
      <x:c r="G201" s="1" t="s">
        <x:v>114</x:v>
      </x:c>
      <x:c r="H201" s="1" t="s">
        <x:v>111</x:v>
      </x:c>
      <x:c r="I201" s="1" t="s">
        <x:v>118</x:v>
      </x:c>
      <x:c r="J201">
        <x:f t="shared" si="4"/>
        <x:v>0</x:v>
      </x:c>
      <x:c r="K201" t="n">
        <x:f>COUNTIFS(Grunnspill!$A:$A,Annex!B201)</x:f>
        <x:v>0</x:v>
      </x:c>
      <x:c r="L201" t="n">
        <x:f>COUNTIFS(Grunnspill!$A:$A,Annex!C201)</x:f>
        <x:v>0</x:v>
      </x:c>
      <x:c r="M201" t="n">
        <x:f>COUNTIFS(Grunnspill!$A:$A,Annex!D201)</x:f>
        <x:v>0</x:v>
      </x:c>
      <x:c r="N201" t="n">
        <x:f>COUNTIFS(Grunnspill!$A:$A,Annex!E201)</x:f>
        <x:v>0</x:v>
      </x:c>
      <x:c r="O201" t="n">
        <x:f>COUNTIFS(Grunnspill!$A:$A,Annex!F201)</x:f>
        <x:v>0</x:v>
      </x:c>
      <x:c r="P201" t="n">
        <x:f>COUNTIFS(Grunnspill!$A:$A,Annex!G201)</x:f>
        <x:v>0</x:v>
      </x:c>
      <x:c r="Q201" t="n">
        <x:f>COUNTIFS(Grunnspill!$A:$A,Annex!H201)</x:f>
        <x:v>0</x:v>
      </x:c>
      <x:c r="R201" t="n">
        <x:f>COUNTIFS(Grunnspill!$A:$A,Annex!I201)</x:f>
        <x:v>0</x:v>
      </x:c>
    </x:row>
    <x:row r="202">
      <x:c r="A202">
        <x:v>199</x:v>
      </x:c>
      <x:c r="B202" s="1" t="s">
        <x:v>115</x:v>
      </x:c>
      <x:c r="C202" s="1" t="s">
        <x:v>116</x:v>
      </x:c>
      <x:c r="D202" s="1" t="s">
        <x:v>111</x:v>
      </x:c>
      <x:c r="E202" s="1" t="s">
        <x:v>120</x:v>
      </x:c>
      <x:c r="F202" s="1" t="s">
        <x:v>125</x:v>
      </x:c>
      <x:c r="G202" s="1" t="s">
        <x:v>114</x:v>
      </x:c>
      <x:c r="H202" s="1" t="s">
        <x:v>117</x:v>
      </x:c>
      <x:c r="I202" s="1" t="s">
        <x:v>113</x:v>
      </x:c>
      <x:c r="J202">
        <x:f t="shared" si="4"/>
        <x:v>0</x:v>
      </x:c>
      <x:c r="K202" t="n">
        <x:f>COUNTIFS(Grunnspill!$A:$A,Annex!B202)</x:f>
        <x:v>0</x:v>
      </x:c>
      <x:c r="L202" t="n">
        <x:f>COUNTIFS(Grunnspill!$A:$A,Annex!C202)</x:f>
        <x:v>0</x:v>
      </x:c>
      <x:c r="M202" t="n">
        <x:f>COUNTIFS(Grunnspill!$A:$A,Annex!D202)</x:f>
        <x:v>0</x:v>
      </x:c>
      <x:c r="N202" t="n">
        <x:f>COUNTIFS(Grunnspill!$A:$A,Annex!E202)</x:f>
        <x:v>0</x:v>
      </x:c>
      <x:c r="O202" t="n">
        <x:f>COUNTIFS(Grunnspill!$A:$A,Annex!F202)</x:f>
        <x:v>0</x:v>
      </x:c>
      <x:c r="P202" t="n">
        <x:f>COUNTIFS(Grunnspill!$A:$A,Annex!G202)</x:f>
        <x:v>0</x:v>
      </x:c>
      <x:c r="Q202" t="n">
        <x:f>COUNTIFS(Grunnspill!$A:$A,Annex!H202)</x:f>
        <x:v>0</x:v>
      </x:c>
      <x:c r="R202" t="n">
        <x:f>COUNTIFS(Grunnspill!$A:$A,Annex!I202)</x:f>
        <x:v>0</x:v>
      </x:c>
    </x:row>
    <x:row r="203">
      <x:c r="A203">
        <x:v>200</x:v>
      </x:c>
      <x:c r="B203" s="1" t="s">
        <x:v>115</x:v>
      </x:c>
      <x:c r="C203" s="1" t="s">
        <x:v>116</x:v>
      </x:c>
      <x:c r="D203" s="1" t="s">
        <x:v>111</x:v>
      </x:c>
      <x:c r="E203" s="1" t="s">
        <x:v>120</x:v>
      </x:c>
      <x:c r="F203" s="1" t="s">
        <x:v>125</x:v>
      </x:c>
      <x:c r="G203" s="1" t="s">
        <x:v>114</x:v>
      </x:c>
      <x:c r="H203" s="1" t="s">
        <x:v>113</x:v>
      </x:c>
      <x:c r="I203" s="1" t="s">
        <x:v>118</x:v>
      </x:c>
      <x:c r="J203">
        <x:f t="shared" si="4"/>
        <x:v>0</x:v>
      </x:c>
      <x:c r="K203" t="n">
        <x:f>COUNTIFS(Grunnspill!$A:$A,Annex!B203)</x:f>
        <x:v>0</x:v>
      </x:c>
      <x:c r="L203" t="n">
        <x:f>COUNTIFS(Grunnspill!$A:$A,Annex!C203)</x:f>
        <x:v>0</x:v>
      </x:c>
      <x:c r="M203" t="n">
        <x:f>COUNTIFS(Grunnspill!$A:$A,Annex!D203)</x:f>
        <x:v>0</x:v>
      </x:c>
      <x:c r="N203" t="n">
        <x:f>COUNTIFS(Grunnspill!$A:$A,Annex!E203)</x:f>
        <x:v>0</x:v>
      </x:c>
      <x:c r="O203" t="n">
        <x:f>COUNTIFS(Grunnspill!$A:$A,Annex!F203)</x:f>
        <x:v>0</x:v>
      </x:c>
      <x:c r="P203" t="n">
        <x:f>COUNTIFS(Grunnspill!$A:$A,Annex!G203)</x:f>
        <x:v>0</x:v>
      </x:c>
      <x:c r="Q203" t="n">
        <x:f>COUNTIFS(Grunnspill!$A:$A,Annex!H203)</x:f>
        <x:v>0</x:v>
      </x:c>
      <x:c r="R203" t="n">
        <x:f>COUNTIFS(Grunnspill!$A:$A,Annex!I203)</x:f>
        <x:v>0</x:v>
      </x:c>
    </x:row>
    <x:row r="204">
      <x:c r="A204">
        <x:v>201</x:v>
      </x:c>
      <x:c r="B204" s="1" t="s">
        <x:v>115</x:v>
      </x:c>
      <x:c r="C204" s="1" t="s">
        <x:v>116</x:v>
      </x:c>
      <x:c r="D204" s="1" t="s">
        <x:v>112</x:v>
      </x:c>
      <x:c r="E204" s="1" t="s">
        <x:v>120</x:v>
      </x:c>
      <x:c r="F204" s="1" t="s">
        <x:v>125</x:v>
      </x:c>
      <x:c r="G204" s="1" t="s">
        <x:v>114</x:v>
      </x:c>
      <x:c r="H204" s="1" t="s">
        <x:v>111</x:v>
      </x:c>
      <x:c r="I204" s="1" t="s">
        <x:v>113</x:v>
      </x:c>
      <x:c r="J204">
        <x:f t="shared" si="4"/>
        <x:v>0</x:v>
      </x:c>
      <x:c r="K204" t="n">
        <x:f>COUNTIFS(Grunnspill!$A:$A,Annex!B204)</x:f>
        <x:v>0</x:v>
      </x:c>
      <x:c r="L204" t="n">
        <x:f>COUNTIFS(Grunnspill!$A:$A,Annex!C204)</x:f>
        <x:v>0</x:v>
      </x:c>
      <x:c r="M204" t="n">
        <x:f>COUNTIFS(Grunnspill!$A:$A,Annex!D204)</x:f>
        <x:v>0</x:v>
      </x:c>
      <x:c r="N204" t="n">
        <x:f>COUNTIFS(Grunnspill!$A:$A,Annex!E204)</x:f>
        <x:v>0</x:v>
      </x:c>
      <x:c r="O204" t="n">
        <x:f>COUNTIFS(Grunnspill!$A:$A,Annex!F204)</x:f>
        <x:v>0</x:v>
      </x:c>
      <x:c r="P204" t="n">
        <x:f>COUNTIFS(Grunnspill!$A:$A,Annex!G204)</x:f>
        <x:v>0</x:v>
      </x:c>
      <x:c r="Q204" t="n">
        <x:f>COUNTIFS(Grunnspill!$A:$A,Annex!H204)</x:f>
        <x:v>0</x:v>
      </x:c>
      <x:c r="R204" t="n">
        <x:f>COUNTIFS(Grunnspill!$A:$A,Annex!I204)</x:f>
        <x:v>0</x:v>
      </x:c>
    </x:row>
    <x:row r="205">
      <x:c r="A205">
        <x:v>202</x:v>
      </x:c>
      <x:c r="B205" s="1" t="s">
        <x:v>115</x:v>
      </x:c>
      <x:c r="C205" s="1" t="s">
        <x:v>112</x:v>
      </x:c>
      <x:c r="D205" s="1" t="s">
        <x:v>113</x:v>
      </x:c>
      <x:c r="E205" s="1" t="s">
        <x:v>121</x:v>
      </x:c>
      <x:c r="F205" s="1" t="s">
        <x:v>125</x:v>
      </x:c>
      <x:c r="G205" s="1" t="s">
        <x:v>116</x:v>
      </x:c>
      <x:c r="H205" s="1" t="s">
        <x:v>117</x:v>
      </x:c>
      <x:c r="I205" s="1" t="s">
        <x:v>118</x:v>
      </x:c>
      <x:c r="J205">
        <x:f t="shared" si="4"/>
        <x:v>0</x:v>
      </x:c>
      <x:c r="K205" t="n">
        <x:f>COUNTIFS(Grunnspill!$A:$A,Annex!B205)</x:f>
        <x:v>0</x:v>
      </x:c>
      <x:c r="L205" t="n">
        <x:f>COUNTIFS(Grunnspill!$A:$A,Annex!C205)</x:f>
        <x:v>0</x:v>
      </x:c>
      <x:c r="M205" t="n">
        <x:f>COUNTIFS(Grunnspill!$A:$A,Annex!D205)</x:f>
        <x:v>0</x:v>
      </x:c>
      <x:c r="N205" t="n">
        <x:f>COUNTIFS(Grunnspill!$A:$A,Annex!E205)</x:f>
        <x:v>0</x:v>
      </x:c>
      <x:c r="O205" t="n">
        <x:f>COUNTIFS(Grunnspill!$A:$A,Annex!F205)</x:f>
        <x:v>0</x:v>
      </x:c>
      <x:c r="P205" t="n">
        <x:f>COUNTIFS(Grunnspill!$A:$A,Annex!G205)</x:f>
        <x:v>0</x:v>
      </x:c>
      <x:c r="Q205" t="n">
        <x:f>COUNTIFS(Grunnspill!$A:$A,Annex!H205)</x:f>
        <x:v>0</x:v>
      </x:c>
      <x:c r="R205" t="n">
        <x:f>COUNTIFS(Grunnspill!$A:$A,Annex!I205)</x:f>
        <x:v>0</x:v>
      </x:c>
    </x:row>
    <x:row r="206">
      <x:c r="A206">
        <x:v>203</x:v>
      </x:c>
      <x:c r="B206" s="1" t="s">
        <x:v>115</x:v>
      </x:c>
      <x:c r="C206" s="1" t="s">
        <x:v>112</x:v>
      </x:c>
      <x:c r="D206" s="1" t="s">
        <x:v>113</x:v>
      </x:c>
      <x:c r="E206" s="1" t="s">
        <x:v>121</x:v>
      </x:c>
      <x:c r="F206" s="1" t="s">
        <x:v>125</x:v>
      </x:c>
      <x:c r="G206" s="1" t="s">
        <x:v>114</x:v>
      </x:c>
      <x:c r="H206" s="1" t="s">
        <x:v>117</x:v>
      </x:c>
      <x:c r="I206" s="1" t="s">
        <x:v>118</x:v>
      </x:c>
      <x:c r="J206">
        <x:f t="shared" si="4"/>
        <x:v>0</x:v>
      </x:c>
      <x:c r="K206" t="n">
        <x:f>COUNTIFS(Grunnspill!$A:$A,Annex!B206)</x:f>
        <x:v>0</x:v>
      </x:c>
      <x:c r="L206" t="n">
        <x:f>COUNTIFS(Grunnspill!$A:$A,Annex!C206)</x:f>
        <x:v>0</x:v>
      </x:c>
      <x:c r="M206" t="n">
        <x:f>COUNTIFS(Grunnspill!$A:$A,Annex!D206)</x:f>
        <x:v>0</x:v>
      </x:c>
      <x:c r="N206" t="n">
        <x:f>COUNTIFS(Grunnspill!$A:$A,Annex!E206)</x:f>
        <x:v>0</x:v>
      </x:c>
      <x:c r="O206" t="n">
        <x:f>COUNTIFS(Grunnspill!$A:$A,Annex!F206)</x:f>
        <x:v>0</x:v>
      </x:c>
      <x:c r="P206" t="n">
        <x:f>COUNTIFS(Grunnspill!$A:$A,Annex!G206)</x:f>
        <x:v>0</x:v>
      </x:c>
      <x:c r="Q206" t="n">
        <x:f>COUNTIFS(Grunnspill!$A:$A,Annex!H206)</x:f>
        <x:v>0</x:v>
      </x:c>
      <x:c r="R206" t="n">
        <x:f>COUNTIFS(Grunnspill!$A:$A,Annex!I206)</x:f>
        <x:v>0</x:v>
      </x:c>
    </x:row>
    <x:row r="207">
      <x:c r="A207">
        <x:v>204</x:v>
      </x:c>
      <x:c r="B207" s="1" t="s">
        <x:v>113</x:v>
      </x:c>
      <x:c r="C207" s="1" t="s">
        <x:v>116</x:v>
      </x:c>
      <x:c r="D207" s="1" t="s">
        <x:v>112</x:v>
      </x:c>
      <x:c r="E207" s="1" t="s">
        <x:v>121</x:v>
      </x:c>
      <x:c r="F207" s="1" t="s">
        <x:v>125</x:v>
      </x:c>
      <x:c r="G207" s="1" t="s">
        <x:v>114</x:v>
      </x:c>
      <x:c r="H207" s="1" t="s">
        <x:v>117</x:v>
      </x:c>
      <x:c r="I207" s="1" t="s">
        <x:v>118</x:v>
      </x:c>
      <x:c r="J207">
        <x:f t="shared" si="4"/>
        <x:v>0</x:v>
      </x:c>
      <x:c r="K207" t="n">
        <x:f>COUNTIFS(Grunnspill!$A:$A,Annex!B207)</x:f>
        <x:v>0</x:v>
      </x:c>
      <x:c r="L207" t="n">
        <x:f>COUNTIFS(Grunnspill!$A:$A,Annex!C207)</x:f>
        <x:v>0</x:v>
      </x:c>
      <x:c r="M207" t="n">
        <x:f>COUNTIFS(Grunnspill!$A:$A,Annex!D207)</x:f>
        <x:v>0</x:v>
      </x:c>
      <x:c r="N207" t="n">
        <x:f>COUNTIFS(Grunnspill!$A:$A,Annex!E207)</x:f>
        <x:v>0</x:v>
      </x:c>
      <x:c r="O207" t="n">
        <x:f>COUNTIFS(Grunnspill!$A:$A,Annex!F207)</x:f>
        <x:v>0</x:v>
      </x:c>
      <x:c r="P207" t="n">
        <x:f>COUNTIFS(Grunnspill!$A:$A,Annex!G207)</x:f>
        <x:v>0</x:v>
      </x:c>
      <x:c r="Q207" t="n">
        <x:f>COUNTIFS(Grunnspill!$A:$A,Annex!H207)</x:f>
        <x:v>0</x:v>
      </x:c>
      <x:c r="R207" t="n">
        <x:f>COUNTIFS(Grunnspill!$A:$A,Annex!I207)</x:f>
        <x:v>0</x:v>
      </x:c>
    </x:row>
    <x:row r="208">
      <x:c r="A208">
        <x:v>205</x:v>
      </x:c>
      <x:c r="B208" s="1" t="s">
        <x:v>115</x:v>
      </x:c>
      <x:c r="C208" s="1" t="s">
        <x:v>116</x:v>
      </x:c>
      <x:c r="D208" s="1" t="s">
        <x:v>112</x:v>
      </x:c>
      <x:c r="E208" s="1" t="s">
        <x:v>121</x:v>
      </x:c>
      <x:c r="F208" s="1" t="s">
        <x:v>125</x:v>
      </x:c>
      <x:c r="G208" s="1" t="s">
        <x:v>114</x:v>
      </x:c>
      <x:c r="H208" s="1" t="s">
        <x:v>117</x:v>
      </x:c>
      <x:c r="I208" s="1" t="s">
        <x:v>118</x:v>
      </x:c>
      <x:c r="J208">
        <x:f t="shared" si="4"/>
        <x:v>0</x:v>
      </x:c>
      <x:c r="K208" t="n">
        <x:f>COUNTIFS(Grunnspill!$A:$A,Annex!B208)</x:f>
        <x:v>0</x:v>
      </x:c>
      <x:c r="L208" t="n">
        <x:f>COUNTIFS(Grunnspill!$A:$A,Annex!C208)</x:f>
        <x:v>0</x:v>
      </x:c>
      <x:c r="M208" t="n">
        <x:f>COUNTIFS(Grunnspill!$A:$A,Annex!D208)</x:f>
        <x:v>0</x:v>
      </x:c>
      <x:c r="N208" t="n">
        <x:f>COUNTIFS(Grunnspill!$A:$A,Annex!E208)</x:f>
        <x:v>0</x:v>
      </x:c>
      <x:c r="O208" t="n">
        <x:f>COUNTIFS(Grunnspill!$A:$A,Annex!F208)</x:f>
        <x:v>0</x:v>
      </x:c>
      <x:c r="P208" t="n">
        <x:f>COUNTIFS(Grunnspill!$A:$A,Annex!G208)</x:f>
        <x:v>0</x:v>
      </x:c>
      <x:c r="Q208" t="n">
        <x:f>COUNTIFS(Grunnspill!$A:$A,Annex!H208)</x:f>
        <x:v>0</x:v>
      </x:c>
      <x:c r="R208" t="n">
        <x:f>COUNTIFS(Grunnspill!$A:$A,Annex!I208)</x:f>
        <x:v>0</x:v>
      </x:c>
    </x:row>
    <x:row r="209">
      <x:c r="A209">
        <x:v>206</x:v>
      </x:c>
      <x:c r="B209" s="1" t="s">
        <x:v>115</x:v>
      </x:c>
      <x:c r="C209" s="1" t="s">
        <x:v>116</x:v>
      </x:c>
      <x:c r="D209" s="1" t="s">
        <x:v>113</x:v>
      </x:c>
      <x:c r="E209" s="1" t="s">
        <x:v>121</x:v>
      </x:c>
      <x:c r="F209" s="1" t="s">
        <x:v>125</x:v>
      </x:c>
      <x:c r="G209" s="1" t="s">
        <x:v>114</x:v>
      </x:c>
      <x:c r="H209" s="1" t="s">
        <x:v>117</x:v>
      </x:c>
      <x:c r="I209" s="1" t="s">
        <x:v>118</x:v>
      </x:c>
      <x:c r="J209">
        <x:f t="shared" si="4"/>
        <x:v>0</x:v>
      </x:c>
      <x:c r="K209" t="n">
        <x:f>COUNTIFS(Grunnspill!$A:$A,Annex!B209)</x:f>
        <x:v>0</x:v>
      </x:c>
      <x:c r="L209" t="n">
        <x:f>COUNTIFS(Grunnspill!$A:$A,Annex!C209)</x:f>
        <x:v>0</x:v>
      </x:c>
      <x:c r="M209" t="n">
        <x:f>COUNTIFS(Grunnspill!$A:$A,Annex!D209)</x:f>
        <x:v>0</x:v>
      </x:c>
      <x:c r="N209" t="n">
        <x:f>COUNTIFS(Grunnspill!$A:$A,Annex!E209)</x:f>
        <x:v>0</x:v>
      </x:c>
      <x:c r="O209" t="n">
        <x:f>COUNTIFS(Grunnspill!$A:$A,Annex!F209)</x:f>
        <x:v>0</x:v>
      </x:c>
      <x:c r="P209" t="n">
        <x:f>COUNTIFS(Grunnspill!$A:$A,Annex!G209)</x:f>
        <x:v>0</x:v>
      </x:c>
      <x:c r="Q209" t="n">
        <x:f>COUNTIFS(Grunnspill!$A:$A,Annex!H209)</x:f>
        <x:v>0</x:v>
      </x:c>
      <x:c r="R209" t="n">
        <x:f>COUNTIFS(Grunnspill!$A:$A,Annex!I209)</x:f>
        <x:v>0</x:v>
      </x:c>
    </x:row>
    <x:row r="210">
      <x:c r="A210">
        <x:v>207</x:v>
      </x:c>
      <x:c r="B210" s="1" t="s">
        <x:v>115</x:v>
      </x:c>
      <x:c r="C210" s="1" t="s">
        <x:v>116</x:v>
      </x:c>
      <x:c r="D210" s="1" t="s">
        <x:v>112</x:v>
      </x:c>
      <x:c r="E210" s="1" t="s">
        <x:v>121</x:v>
      </x:c>
      <x:c r="F210" s="1" t="s">
        <x:v>125</x:v>
      </x:c>
      <x:c r="G210" s="1" t="s">
        <x:v>114</x:v>
      </x:c>
      <x:c r="H210" s="1" t="s">
        <x:v>117</x:v>
      </x:c>
      <x:c r="I210" s="1" t="s">
        <x:v>113</x:v>
      </x:c>
      <x:c r="J210">
        <x:f t="shared" si="4"/>
        <x:v>0</x:v>
      </x:c>
      <x:c r="K210" t="n">
        <x:f>COUNTIFS(Grunnspill!$A:$A,Annex!B210)</x:f>
        <x:v>0</x:v>
      </x:c>
      <x:c r="L210" t="n">
        <x:f>COUNTIFS(Grunnspill!$A:$A,Annex!C210)</x:f>
        <x:v>0</x:v>
      </x:c>
      <x:c r="M210" t="n">
        <x:f>COUNTIFS(Grunnspill!$A:$A,Annex!D210)</x:f>
        <x:v>0</x:v>
      </x:c>
      <x:c r="N210" t="n">
        <x:f>COUNTIFS(Grunnspill!$A:$A,Annex!E210)</x:f>
        <x:v>0</x:v>
      </x:c>
      <x:c r="O210" t="n">
        <x:f>COUNTIFS(Grunnspill!$A:$A,Annex!F210)</x:f>
        <x:v>0</x:v>
      </x:c>
      <x:c r="P210" t="n">
        <x:f>COUNTIFS(Grunnspill!$A:$A,Annex!G210)</x:f>
        <x:v>0</x:v>
      </x:c>
      <x:c r="Q210" t="n">
        <x:f>COUNTIFS(Grunnspill!$A:$A,Annex!H210)</x:f>
        <x:v>0</x:v>
      </x:c>
      <x:c r="R210" t="n">
        <x:f>COUNTIFS(Grunnspill!$A:$A,Annex!I210)</x:f>
        <x:v>0</x:v>
      </x:c>
    </x:row>
    <x:row r="211">
      <x:c r="A211">
        <x:v>208</x:v>
      </x:c>
      <x:c r="B211" s="1" t="s">
        <x:v>115</x:v>
      </x:c>
      <x:c r="C211" s="1" t="s">
        <x:v>116</x:v>
      </x:c>
      <x:c r="D211" s="1" t="s">
        <x:v>112</x:v>
      </x:c>
      <x:c r="E211" s="1" t="s">
        <x:v>121</x:v>
      </x:c>
      <x:c r="F211" s="1" t="s">
        <x:v>125</x:v>
      </x:c>
      <x:c r="G211" s="1" t="s">
        <x:v>114</x:v>
      </x:c>
      <x:c r="H211" s="1" t="s">
        <x:v>113</x:v>
      </x:c>
      <x:c r="I211" s="1" t="s">
        <x:v>118</x:v>
      </x:c>
      <x:c r="J211">
        <x:f t="shared" si="4"/>
        <x:v>0</x:v>
      </x:c>
      <x:c r="K211" t="n">
        <x:f>COUNTIFS(Grunnspill!$A:$A,Annex!B211)</x:f>
        <x:v>0</x:v>
      </x:c>
      <x:c r="L211" t="n">
        <x:f>COUNTIFS(Grunnspill!$A:$A,Annex!C211)</x:f>
        <x:v>0</x:v>
      </x:c>
      <x:c r="M211" t="n">
        <x:f>COUNTIFS(Grunnspill!$A:$A,Annex!D211)</x:f>
        <x:v>0</x:v>
      </x:c>
      <x:c r="N211" t="n">
        <x:f>COUNTIFS(Grunnspill!$A:$A,Annex!E211)</x:f>
        <x:v>0</x:v>
      </x:c>
      <x:c r="O211" t="n">
        <x:f>COUNTIFS(Grunnspill!$A:$A,Annex!F211)</x:f>
        <x:v>0</x:v>
      </x:c>
      <x:c r="P211" t="n">
        <x:f>COUNTIFS(Grunnspill!$A:$A,Annex!G211)</x:f>
        <x:v>0</x:v>
      </x:c>
      <x:c r="Q211" t="n">
        <x:f>COUNTIFS(Grunnspill!$A:$A,Annex!H211)</x:f>
        <x:v>0</x:v>
      </x:c>
      <x:c r="R211" t="n">
        <x:f>COUNTIFS(Grunnspill!$A:$A,Annex!I211)</x:f>
        <x:v>0</x:v>
      </x:c>
    </x:row>
    <x:row r="212">
      <x:c r="A212">
        <x:v>209</x:v>
      </x:c>
      <x:c r="B212" s="1" t="s">
        <x:v>111</x:v>
      </x:c>
      <x:c r="C212" s="1" t="s">
        <x:v>112</x:v>
      </x:c>
      <x:c r="D212" s="1" t="s">
        <x:v>113</x:v>
      </x:c>
      <x:c r="E212" s="1" t="s">
        <x:v>121</x:v>
      </x:c>
      <x:c r="F212" s="1" t="s">
        <x:v>125</x:v>
      </x:c>
      <x:c r="G212" s="1" t="s">
        <x:v>115</x:v>
      </x:c>
      <x:c r="H212" s="1" t="s">
        <x:v>117</x:v>
      </x:c>
      <x:c r="I212" s="1" t="s">
        <x:v>118</x:v>
      </x:c>
      <x:c r="J212">
        <x:f t="shared" si="4"/>
        <x:v>0</x:v>
      </x:c>
      <x:c r="K212" t="n">
        <x:f>COUNTIFS(Grunnspill!$A:$A,Annex!B212)</x:f>
        <x:v>0</x:v>
      </x:c>
      <x:c r="L212" t="n">
        <x:f>COUNTIFS(Grunnspill!$A:$A,Annex!C212)</x:f>
        <x:v>0</x:v>
      </x:c>
      <x:c r="M212" t="n">
        <x:f>COUNTIFS(Grunnspill!$A:$A,Annex!D212)</x:f>
        <x:v>0</x:v>
      </x:c>
      <x:c r="N212" t="n">
        <x:f>COUNTIFS(Grunnspill!$A:$A,Annex!E212)</x:f>
        <x:v>0</x:v>
      </x:c>
      <x:c r="O212" t="n">
        <x:f>COUNTIFS(Grunnspill!$A:$A,Annex!F212)</x:f>
        <x:v>0</x:v>
      </x:c>
      <x:c r="P212" t="n">
        <x:f>COUNTIFS(Grunnspill!$A:$A,Annex!G212)</x:f>
        <x:v>0</x:v>
      </x:c>
      <x:c r="Q212" t="n">
        <x:f>COUNTIFS(Grunnspill!$A:$A,Annex!H212)</x:f>
        <x:v>0</x:v>
      </x:c>
      <x:c r="R212" t="n">
        <x:f>COUNTIFS(Grunnspill!$A:$A,Annex!I212)</x:f>
        <x:v>0</x:v>
      </x:c>
    </x:row>
    <x:row r="213">
      <x:c r="A213">
        <x:v>210</x:v>
      </x:c>
      <x:c r="B213" s="1" t="s">
        <x:v>111</x:v>
      </x:c>
      <x:c r="C213" s="1" t="s">
        <x:v>112</x:v>
      </x:c>
      <x:c r="D213" s="1" t="s">
        <x:v>113</x:v>
      </x:c>
      <x:c r="E213" s="1" t="s">
        <x:v>121</x:v>
      </x:c>
      <x:c r="F213" s="1" t="s">
        <x:v>125</x:v>
      </x:c>
      <x:c r="G213" s="1" t="s">
        <x:v>116</x:v>
      </x:c>
      <x:c r="H213" s="1" t="s">
        <x:v>117</x:v>
      </x:c>
      <x:c r="I213" s="1" t="s">
        <x:v>118</x:v>
      </x:c>
      <x:c r="J213">
        <x:f t="shared" si="4"/>
        <x:v>0</x:v>
      </x:c>
      <x:c r="K213" t="n">
        <x:f>COUNTIFS(Grunnspill!$A:$A,Annex!B213)</x:f>
        <x:v>0</x:v>
      </x:c>
      <x:c r="L213" t="n">
        <x:f>COUNTIFS(Grunnspill!$A:$A,Annex!C213)</x:f>
        <x:v>0</x:v>
      </x:c>
      <x:c r="M213" t="n">
        <x:f>COUNTIFS(Grunnspill!$A:$A,Annex!D213)</x:f>
        <x:v>0</x:v>
      </x:c>
      <x:c r="N213" t="n">
        <x:f>COUNTIFS(Grunnspill!$A:$A,Annex!E213)</x:f>
        <x:v>0</x:v>
      </x:c>
      <x:c r="O213" t="n">
        <x:f>COUNTIFS(Grunnspill!$A:$A,Annex!F213)</x:f>
        <x:v>0</x:v>
      </x:c>
      <x:c r="P213" t="n">
        <x:f>COUNTIFS(Grunnspill!$A:$A,Annex!G213)</x:f>
        <x:v>0</x:v>
      </x:c>
      <x:c r="Q213" t="n">
        <x:f>COUNTIFS(Grunnspill!$A:$A,Annex!H213)</x:f>
        <x:v>0</x:v>
      </x:c>
      <x:c r="R213" t="n">
        <x:f>COUNTIFS(Grunnspill!$A:$A,Annex!I213)</x:f>
        <x:v>0</x:v>
      </x:c>
    </x:row>
    <x:row r="214">
      <x:c r="A214">
        <x:v>211</x:v>
      </x:c>
      <x:c r="B214" s="1" t="s">
        <x:v>111</x:v>
      </x:c>
      <x:c r="C214" s="1" t="s">
        <x:v>116</x:v>
      </x:c>
      <x:c r="D214" s="1" t="s">
        <x:v>112</x:v>
      </x:c>
      <x:c r="E214" s="1" t="s">
        <x:v>121</x:v>
      </x:c>
      <x:c r="F214" s="1" t="s">
        <x:v>125</x:v>
      </x:c>
      <x:c r="G214" s="1" t="s">
        <x:v>115</x:v>
      </x:c>
      <x:c r="H214" s="1" t="s">
        <x:v>117</x:v>
      </x:c>
      <x:c r="I214" s="1" t="s">
        <x:v>118</x:v>
      </x:c>
      <x:c r="J214" t="n">
        <x:f t="shared" ref="J214:J277" si="5">SUM(K214:R214)</x:f>
        <x:v>0</x:v>
      </x:c>
      <x:c r="K214" t="n">
        <x:f>COUNTIFS(Grunnspill!$A:$A,Annex!B214)</x:f>
        <x:v>0</x:v>
      </x:c>
      <x:c r="L214" t="n">
        <x:f>COUNTIFS(Grunnspill!$A:$A,Annex!C214)</x:f>
        <x:v>0</x:v>
      </x:c>
      <x:c r="M214" t="n">
        <x:f>COUNTIFS(Grunnspill!$A:$A,Annex!D214)</x:f>
        <x:v>0</x:v>
      </x:c>
      <x:c r="N214" t="n">
        <x:f>COUNTIFS(Grunnspill!$A:$A,Annex!E214)</x:f>
        <x:v>0</x:v>
      </x:c>
      <x:c r="O214" t="n">
        <x:f>COUNTIFS(Grunnspill!$A:$A,Annex!F214)</x:f>
        <x:v>0</x:v>
      </x:c>
      <x:c r="P214" t="n">
        <x:f>COUNTIFS(Grunnspill!$A:$A,Annex!G214)</x:f>
        <x:v>0</x:v>
      </x:c>
      <x:c r="Q214" t="n">
        <x:f>COUNTIFS(Grunnspill!$A:$A,Annex!H214)</x:f>
        <x:v>0</x:v>
      </x:c>
      <x:c r="R214" t="n">
        <x:f>COUNTIFS(Grunnspill!$A:$A,Annex!I214)</x:f>
        <x:v>0</x:v>
      </x:c>
    </x:row>
    <x:row r="215">
      <x:c r="A215">
        <x:v>212</x:v>
      </x:c>
      <x:c r="B215" s="1" t="s">
        <x:v>111</x:v>
      </x:c>
      <x:c r="C215" s="1" t="s">
        <x:v>116</x:v>
      </x:c>
      <x:c r="D215" s="1" t="s">
        <x:v>113</x:v>
      </x:c>
      <x:c r="E215" s="1" t="s">
        <x:v>121</x:v>
      </x:c>
      <x:c r="F215" s="1" t="s">
        <x:v>125</x:v>
      </x:c>
      <x:c r="G215" s="1" t="s">
        <x:v>115</x:v>
      </x:c>
      <x:c r="H215" s="1" t="s">
        <x:v>117</x:v>
      </x:c>
      <x:c r="I215" s="1" t="s">
        <x:v>118</x:v>
      </x:c>
      <x:c r="J215">
        <x:f t="shared" si="5"/>
        <x:v>0</x:v>
      </x:c>
      <x:c r="K215" t="n">
        <x:f>COUNTIFS(Grunnspill!$A:$A,Annex!B215)</x:f>
        <x:v>0</x:v>
      </x:c>
      <x:c r="L215" t="n">
        <x:f>COUNTIFS(Grunnspill!$A:$A,Annex!C215)</x:f>
        <x:v>0</x:v>
      </x:c>
      <x:c r="M215" t="n">
        <x:f>COUNTIFS(Grunnspill!$A:$A,Annex!D215)</x:f>
        <x:v>0</x:v>
      </x:c>
      <x:c r="N215" t="n">
        <x:f>COUNTIFS(Grunnspill!$A:$A,Annex!E215)</x:f>
        <x:v>0</x:v>
      </x:c>
      <x:c r="O215" t="n">
        <x:f>COUNTIFS(Grunnspill!$A:$A,Annex!F215)</x:f>
        <x:v>0</x:v>
      </x:c>
      <x:c r="P215" t="n">
        <x:f>COUNTIFS(Grunnspill!$A:$A,Annex!G215)</x:f>
        <x:v>0</x:v>
      </x:c>
      <x:c r="Q215" t="n">
        <x:f>COUNTIFS(Grunnspill!$A:$A,Annex!H215)</x:f>
        <x:v>0</x:v>
      </x:c>
      <x:c r="R215" t="n">
        <x:f>COUNTIFS(Grunnspill!$A:$A,Annex!I215)</x:f>
        <x:v>0</x:v>
      </x:c>
    </x:row>
    <x:row r="216">
      <x:c r="A216">
        <x:v>213</x:v>
      </x:c>
      <x:c r="B216" s="1" t="s">
        <x:v>111</x:v>
      </x:c>
      <x:c r="C216" s="1" t="s">
        <x:v>116</x:v>
      </x:c>
      <x:c r="D216" s="1" t="s">
        <x:v>112</x:v>
      </x:c>
      <x:c r="E216" s="1" t="s">
        <x:v>121</x:v>
      </x:c>
      <x:c r="F216" s="1" t="s">
        <x:v>125</x:v>
      </x:c>
      <x:c r="G216" s="1" t="s">
        <x:v>115</x:v>
      </x:c>
      <x:c r="H216" s="1" t="s">
        <x:v>117</x:v>
      </x:c>
      <x:c r="I216" s="1" t="s">
        <x:v>113</x:v>
      </x:c>
      <x:c r="J216">
        <x:f t="shared" si="5"/>
        <x:v>0</x:v>
      </x:c>
      <x:c r="K216" t="n">
        <x:f>COUNTIFS(Grunnspill!$A:$A,Annex!B216)</x:f>
        <x:v>0</x:v>
      </x:c>
      <x:c r="L216" t="n">
        <x:f>COUNTIFS(Grunnspill!$A:$A,Annex!C216)</x:f>
        <x:v>0</x:v>
      </x:c>
      <x:c r="M216" t="n">
        <x:f>COUNTIFS(Grunnspill!$A:$A,Annex!D216)</x:f>
        <x:v>0</x:v>
      </x:c>
      <x:c r="N216" t="n">
        <x:f>COUNTIFS(Grunnspill!$A:$A,Annex!E216)</x:f>
        <x:v>0</x:v>
      </x:c>
      <x:c r="O216" t="n">
        <x:f>COUNTIFS(Grunnspill!$A:$A,Annex!F216)</x:f>
        <x:v>0</x:v>
      </x:c>
      <x:c r="P216" t="n">
        <x:f>COUNTIFS(Grunnspill!$A:$A,Annex!G216)</x:f>
        <x:v>0</x:v>
      </x:c>
      <x:c r="Q216" t="n">
        <x:f>COUNTIFS(Grunnspill!$A:$A,Annex!H216)</x:f>
        <x:v>0</x:v>
      </x:c>
      <x:c r="R216" t="n">
        <x:f>COUNTIFS(Grunnspill!$A:$A,Annex!I216)</x:f>
        <x:v>0</x:v>
      </x:c>
    </x:row>
    <x:row r="217">
      <x:c r="A217">
        <x:v>214</x:v>
      </x:c>
      <x:c r="B217" s="1" t="s">
        <x:v>111</x:v>
      </x:c>
      <x:c r="C217" s="1" t="s">
        <x:v>116</x:v>
      </x:c>
      <x:c r="D217" s="1" t="s">
        <x:v>112</x:v>
      </x:c>
      <x:c r="E217" s="1" t="s">
        <x:v>121</x:v>
      </x:c>
      <x:c r="F217" s="1" t="s">
        <x:v>125</x:v>
      </x:c>
      <x:c r="G217" s="1" t="s">
        <x:v>115</x:v>
      </x:c>
      <x:c r="H217" s="1" t="s">
        <x:v>113</x:v>
      </x:c>
      <x:c r="I217" s="1" t="s">
        <x:v>118</x:v>
      </x:c>
      <x:c r="J217">
        <x:f t="shared" si="5"/>
        <x:v>0</x:v>
      </x:c>
      <x:c r="K217" t="n">
        <x:f>COUNTIFS(Grunnspill!$A:$A,Annex!B217)</x:f>
        <x:v>0</x:v>
      </x:c>
      <x:c r="L217" t="n">
        <x:f>COUNTIFS(Grunnspill!$A:$A,Annex!C217)</x:f>
        <x:v>0</x:v>
      </x:c>
      <x:c r="M217" t="n">
        <x:f>COUNTIFS(Grunnspill!$A:$A,Annex!D217)</x:f>
        <x:v>0</x:v>
      </x:c>
      <x:c r="N217" t="n">
        <x:f>COUNTIFS(Grunnspill!$A:$A,Annex!E217)</x:f>
        <x:v>0</x:v>
      </x:c>
      <x:c r="O217" t="n">
        <x:f>COUNTIFS(Grunnspill!$A:$A,Annex!F217)</x:f>
        <x:v>0</x:v>
      </x:c>
      <x:c r="P217" t="n">
        <x:f>COUNTIFS(Grunnspill!$A:$A,Annex!G217)</x:f>
        <x:v>0</x:v>
      </x:c>
      <x:c r="Q217" t="n">
        <x:f>COUNTIFS(Grunnspill!$A:$A,Annex!H217)</x:f>
        <x:v>0</x:v>
      </x:c>
      <x:c r="R217" t="n">
        <x:f>COUNTIFS(Grunnspill!$A:$A,Annex!I217)</x:f>
        <x:v>0</x:v>
      </x:c>
    </x:row>
    <x:row r="218">
      <x:c r="A218">
        <x:v>215</x:v>
      </x:c>
      <x:c r="B218" s="1" t="s">
        <x:v>111</x:v>
      </x:c>
      <x:c r="C218" s="1" t="s">
        <x:v>112</x:v>
      </x:c>
      <x:c r="D218" s="1" t="s">
        <x:v>113</x:v>
      </x:c>
      <x:c r="E218" s="1" t="s">
        <x:v>121</x:v>
      </x:c>
      <x:c r="F218" s="1" t="s">
        <x:v>125</x:v>
      </x:c>
      <x:c r="G218" s="1" t="s">
        <x:v>114</x:v>
      </x:c>
      <x:c r="H218" s="1" t="s">
        <x:v>117</x:v>
      </x:c>
      <x:c r="I218" s="1" t="s">
        <x:v>118</x:v>
      </x:c>
      <x:c r="J218">
        <x:f t="shared" si="5"/>
        <x:v>0</x:v>
      </x:c>
      <x:c r="K218" t="n">
        <x:f>COUNTIFS(Grunnspill!$A:$A,Annex!B218)</x:f>
        <x:v>0</x:v>
      </x:c>
      <x:c r="L218" t="n">
        <x:f>COUNTIFS(Grunnspill!$A:$A,Annex!C218)</x:f>
        <x:v>0</x:v>
      </x:c>
      <x:c r="M218" t="n">
        <x:f>COUNTIFS(Grunnspill!$A:$A,Annex!D218)</x:f>
        <x:v>0</x:v>
      </x:c>
      <x:c r="N218" t="n">
        <x:f>COUNTIFS(Grunnspill!$A:$A,Annex!E218)</x:f>
        <x:v>0</x:v>
      </x:c>
      <x:c r="O218" t="n">
        <x:f>COUNTIFS(Grunnspill!$A:$A,Annex!F218)</x:f>
        <x:v>0</x:v>
      </x:c>
      <x:c r="P218" t="n">
        <x:f>COUNTIFS(Grunnspill!$A:$A,Annex!G218)</x:f>
        <x:v>0</x:v>
      </x:c>
      <x:c r="Q218" t="n">
        <x:f>COUNTIFS(Grunnspill!$A:$A,Annex!H218)</x:f>
        <x:v>0</x:v>
      </x:c>
      <x:c r="R218" t="n">
        <x:f>COUNTIFS(Grunnspill!$A:$A,Annex!I218)</x:f>
        <x:v>0</x:v>
      </x:c>
    </x:row>
    <x:row r="219">
      <x:c r="A219">
        <x:v>216</x:v>
      </x:c>
      <x:c r="B219" s="1" t="s">
        <x:v>115</x:v>
      </x:c>
      <x:c r="C219" s="1" t="s">
        <x:v>112</x:v>
      </x:c>
      <x:c r="D219" s="1" t="s">
        <x:v>111</x:v>
      </x:c>
      <x:c r="E219" s="1" t="s">
        <x:v>121</x:v>
      </x:c>
      <x:c r="F219" s="1" t="s">
        <x:v>125</x:v>
      </x:c>
      <x:c r="G219" s="1" t="s">
        <x:v>114</x:v>
      </x:c>
      <x:c r="H219" s="1" t="s">
        <x:v>117</x:v>
      </x:c>
      <x:c r="I219" s="1" t="s">
        <x:v>118</x:v>
      </x:c>
      <x:c r="J219">
        <x:f t="shared" si="5"/>
        <x:v>0</x:v>
      </x:c>
      <x:c r="K219" t="n">
        <x:f>COUNTIFS(Grunnspill!$A:$A,Annex!B219)</x:f>
        <x:v>0</x:v>
      </x:c>
      <x:c r="L219" t="n">
        <x:f>COUNTIFS(Grunnspill!$A:$A,Annex!C219)</x:f>
        <x:v>0</x:v>
      </x:c>
      <x:c r="M219" t="n">
        <x:f>COUNTIFS(Grunnspill!$A:$A,Annex!D219)</x:f>
        <x:v>0</x:v>
      </x:c>
      <x:c r="N219" t="n">
        <x:f>COUNTIFS(Grunnspill!$A:$A,Annex!E219)</x:f>
        <x:v>0</x:v>
      </x:c>
      <x:c r="O219" t="n">
        <x:f>COUNTIFS(Grunnspill!$A:$A,Annex!F219)</x:f>
        <x:v>0</x:v>
      </x:c>
      <x:c r="P219" t="n">
        <x:f>COUNTIFS(Grunnspill!$A:$A,Annex!G219)</x:f>
        <x:v>0</x:v>
      </x:c>
      <x:c r="Q219" t="n">
        <x:f>COUNTIFS(Grunnspill!$A:$A,Annex!H219)</x:f>
        <x:v>0</x:v>
      </x:c>
      <x:c r="R219" t="n">
        <x:f>COUNTIFS(Grunnspill!$A:$A,Annex!I219)</x:f>
        <x:v>0</x:v>
      </x:c>
    </x:row>
    <x:row r="220">
      <x:c r="A220">
        <x:v>217</x:v>
      </x:c>
      <x:c r="B220" s="1" t="s">
        <x:v>115</x:v>
      </x:c>
      <x:c r="C220" s="1" t="s">
        <x:v>111</x:v>
      </x:c>
      <x:c r="D220" s="1" t="s">
        <x:v>113</x:v>
      </x:c>
      <x:c r="E220" s="1" t="s">
        <x:v>121</x:v>
      </x:c>
      <x:c r="F220" s="1" t="s">
        <x:v>125</x:v>
      </x:c>
      <x:c r="G220" s="1" t="s">
        <x:v>114</x:v>
      </x:c>
      <x:c r="H220" s="1" t="s">
        <x:v>117</x:v>
      </x:c>
      <x:c r="I220" s="1" t="s">
        <x:v>118</x:v>
      </x:c>
      <x:c r="J220">
        <x:f t="shared" si="5"/>
        <x:v>0</x:v>
      </x:c>
      <x:c r="K220" t="n">
        <x:f>COUNTIFS(Grunnspill!$A:$A,Annex!B220)</x:f>
        <x:v>0</x:v>
      </x:c>
      <x:c r="L220" t="n">
        <x:f>COUNTIFS(Grunnspill!$A:$A,Annex!C220)</x:f>
        <x:v>0</x:v>
      </x:c>
      <x:c r="M220" t="n">
        <x:f>COUNTIFS(Grunnspill!$A:$A,Annex!D220)</x:f>
        <x:v>0</x:v>
      </x:c>
      <x:c r="N220" t="n">
        <x:f>COUNTIFS(Grunnspill!$A:$A,Annex!E220)</x:f>
        <x:v>0</x:v>
      </x:c>
      <x:c r="O220" t="n">
        <x:f>COUNTIFS(Grunnspill!$A:$A,Annex!F220)</x:f>
        <x:v>0</x:v>
      </x:c>
      <x:c r="P220" t="n">
        <x:f>COUNTIFS(Grunnspill!$A:$A,Annex!G220)</x:f>
        <x:v>0</x:v>
      </x:c>
      <x:c r="Q220" t="n">
        <x:f>COUNTIFS(Grunnspill!$A:$A,Annex!H220)</x:f>
        <x:v>0</x:v>
      </x:c>
      <x:c r="R220" t="n">
        <x:f>COUNTIFS(Grunnspill!$A:$A,Annex!I220)</x:f>
        <x:v>0</x:v>
      </x:c>
    </x:row>
    <x:row r="221">
      <x:c r="A221">
        <x:v>218</x:v>
      </x:c>
      <x:c r="B221" s="1" t="s">
        <x:v>115</x:v>
      </x:c>
      <x:c r="C221" s="1" t="s">
        <x:v>112</x:v>
      </x:c>
      <x:c r="D221" s="1" t="s">
        <x:v>111</x:v>
      </x:c>
      <x:c r="E221" s="1" t="s">
        <x:v>121</x:v>
      </x:c>
      <x:c r="F221" s="1" t="s">
        <x:v>125</x:v>
      </x:c>
      <x:c r="G221" s="1" t="s">
        <x:v>114</x:v>
      </x:c>
      <x:c r="H221" s="1" t="s">
        <x:v>117</x:v>
      </x:c>
      <x:c r="I221" s="1" t="s">
        <x:v>113</x:v>
      </x:c>
      <x:c r="J221">
        <x:f t="shared" si="5"/>
        <x:v>0</x:v>
      </x:c>
      <x:c r="K221" t="n">
        <x:f>COUNTIFS(Grunnspill!$A:$A,Annex!B221)</x:f>
        <x:v>0</x:v>
      </x:c>
      <x:c r="L221" t="n">
        <x:f>COUNTIFS(Grunnspill!$A:$A,Annex!C221)</x:f>
        <x:v>0</x:v>
      </x:c>
      <x:c r="M221" t="n">
        <x:f>COUNTIFS(Grunnspill!$A:$A,Annex!D221)</x:f>
        <x:v>0</x:v>
      </x:c>
      <x:c r="N221" t="n">
        <x:f>COUNTIFS(Grunnspill!$A:$A,Annex!E221)</x:f>
        <x:v>0</x:v>
      </x:c>
      <x:c r="O221" t="n">
        <x:f>COUNTIFS(Grunnspill!$A:$A,Annex!F221)</x:f>
        <x:v>0</x:v>
      </x:c>
      <x:c r="P221" t="n">
        <x:f>COUNTIFS(Grunnspill!$A:$A,Annex!G221)</x:f>
        <x:v>0</x:v>
      </x:c>
      <x:c r="Q221" t="n">
        <x:f>COUNTIFS(Grunnspill!$A:$A,Annex!H221)</x:f>
        <x:v>0</x:v>
      </x:c>
      <x:c r="R221" t="n">
        <x:f>COUNTIFS(Grunnspill!$A:$A,Annex!I221)</x:f>
        <x:v>0</x:v>
      </x:c>
    </x:row>
    <x:row r="222">
      <x:c r="A222">
        <x:v>219</x:v>
      </x:c>
      <x:c r="B222" s="1" t="s">
        <x:v>115</x:v>
      </x:c>
      <x:c r="C222" s="1" t="s">
        <x:v>112</x:v>
      </x:c>
      <x:c r="D222" s="1" t="s">
        <x:v>111</x:v>
      </x:c>
      <x:c r="E222" s="1" t="s">
        <x:v>121</x:v>
      </x:c>
      <x:c r="F222" s="1" t="s">
        <x:v>125</x:v>
      </x:c>
      <x:c r="G222" s="1" t="s">
        <x:v>114</x:v>
      </x:c>
      <x:c r="H222" s="1" t="s">
        <x:v>113</x:v>
      </x:c>
      <x:c r="I222" s="1" t="s">
        <x:v>118</x:v>
      </x:c>
      <x:c r="J222">
        <x:f t="shared" si="5"/>
        <x:v>0</x:v>
      </x:c>
      <x:c r="K222" t="n">
        <x:f>COUNTIFS(Grunnspill!$A:$A,Annex!B222)</x:f>
        <x:v>0</x:v>
      </x:c>
      <x:c r="L222" t="n">
        <x:f>COUNTIFS(Grunnspill!$A:$A,Annex!C222)</x:f>
        <x:v>0</x:v>
      </x:c>
      <x:c r="M222" t="n">
        <x:f>COUNTIFS(Grunnspill!$A:$A,Annex!D222)</x:f>
        <x:v>0</x:v>
      </x:c>
      <x:c r="N222" t="n">
        <x:f>COUNTIFS(Grunnspill!$A:$A,Annex!E222)</x:f>
        <x:v>0</x:v>
      </x:c>
      <x:c r="O222" t="n">
        <x:f>COUNTIFS(Grunnspill!$A:$A,Annex!F222)</x:f>
        <x:v>0</x:v>
      </x:c>
      <x:c r="P222" t="n">
        <x:f>COUNTIFS(Grunnspill!$A:$A,Annex!G222)</x:f>
        <x:v>0</x:v>
      </x:c>
      <x:c r="Q222" t="n">
        <x:f>COUNTIFS(Grunnspill!$A:$A,Annex!H222)</x:f>
        <x:v>0</x:v>
      </x:c>
      <x:c r="R222" t="n">
        <x:f>COUNTIFS(Grunnspill!$A:$A,Annex!I222)</x:f>
        <x:v>0</x:v>
      </x:c>
    </x:row>
    <x:row r="223">
      <x:c r="A223">
        <x:v>220</x:v>
      </x:c>
      <x:c r="B223" s="1" t="s">
        <x:v>111</x:v>
      </x:c>
      <x:c r="C223" s="1" t="s">
        <x:v>116</x:v>
      </x:c>
      <x:c r="D223" s="1" t="s">
        <x:v>112</x:v>
      </x:c>
      <x:c r="E223" s="1" t="s">
        <x:v>121</x:v>
      </x:c>
      <x:c r="F223" s="1" t="s">
        <x:v>125</x:v>
      </x:c>
      <x:c r="G223" s="1" t="s">
        <x:v>114</x:v>
      </x:c>
      <x:c r="H223" s="1" t="s">
        <x:v>117</x:v>
      </x:c>
      <x:c r="I223" s="1" t="s">
        <x:v>118</x:v>
      </x:c>
      <x:c r="J223">
        <x:f t="shared" si="5"/>
        <x:v>0</x:v>
      </x:c>
      <x:c r="K223" t="n">
        <x:f>COUNTIFS(Grunnspill!$A:$A,Annex!B223)</x:f>
        <x:v>0</x:v>
      </x:c>
      <x:c r="L223" t="n">
        <x:f>COUNTIFS(Grunnspill!$A:$A,Annex!C223)</x:f>
        <x:v>0</x:v>
      </x:c>
      <x:c r="M223" t="n">
        <x:f>COUNTIFS(Grunnspill!$A:$A,Annex!D223)</x:f>
        <x:v>0</x:v>
      </x:c>
      <x:c r="N223" t="n">
        <x:f>COUNTIFS(Grunnspill!$A:$A,Annex!E223)</x:f>
        <x:v>0</x:v>
      </x:c>
      <x:c r="O223" t="n">
        <x:f>COUNTIFS(Grunnspill!$A:$A,Annex!F223)</x:f>
        <x:v>0</x:v>
      </x:c>
      <x:c r="P223" t="n">
        <x:f>COUNTIFS(Grunnspill!$A:$A,Annex!G223)</x:f>
        <x:v>0</x:v>
      </x:c>
      <x:c r="Q223" t="n">
        <x:f>COUNTIFS(Grunnspill!$A:$A,Annex!H223)</x:f>
        <x:v>0</x:v>
      </x:c>
      <x:c r="R223" t="n">
        <x:f>COUNTIFS(Grunnspill!$A:$A,Annex!I223)</x:f>
        <x:v>0</x:v>
      </x:c>
    </x:row>
    <x:row r="224">
      <x:c r="A224">
        <x:v>221</x:v>
      </x:c>
      <x:c r="B224" s="1" t="s">
        <x:v>111</x:v>
      </x:c>
      <x:c r="C224" s="1" t="s">
        <x:v>116</x:v>
      </x:c>
      <x:c r="D224" s="1" t="s">
        <x:v>113</x:v>
      </x:c>
      <x:c r="E224" s="1" t="s">
        <x:v>121</x:v>
      </x:c>
      <x:c r="F224" s="1" t="s">
        <x:v>125</x:v>
      </x:c>
      <x:c r="G224" s="1" t="s">
        <x:v>114</x:v>
      </x:c>
      <x:c r="H224" s="1" t="s">
        <x:v>117</x:v>
      </x:c>
      <x:c r="I224" s="1" t="s">
        <x:v>118</x:v>
      </x:c>
      <x:c r="J224">
        <x:f t="shared" si="5"/>
        <x:v>0</x:v>
      </x:c>
      <x:c r="K224" t="n">
        <x:f>COUNTIFS(Grunnspill!$A:$A,Annex!B224)</x:f>
        <x:v>0</x:v>
      </x:c>
      <x:c r="L224" t="n">
        <x:f>COUNTIFS(Grunnspill!$A:$A,Annex!C224)</x:f>
        <x:v>0</x:v>
      </x:c>
      <x:c r="M224" t="n">
        <x:f>COUNTIFS(Grunnspill!$A:$A,Annex!D224)</x:f>
        <x:v>0</x:v>
      </x:c>
      <x:c r="N224" t="n">
        <x:f>COUNTIFS(Grunnspill!$A:$A,Annex!E224)</x:f>
        <x:v>0</x:v>
      </x:c>
      <x:c r="O224" t="n">
        <x:f>COUNTIFS(Grunnspill!$A:$A,Annex!F224)</x:f>
        <x:v>0</x:v>
      </x:c>
      <x:c r="P224" t="n">
        <x:f>COUNTIFS(Grunnspill!$A:$A,Annex!G224)</x:f>
        <x:v>0</x:v>
      </x:c>
      <x:c r="Q224" t="n">
        <x:f>COUNTIFS(Grunnspill!$A:$A,Annex!H224)</x:f>
        <x:v>0</x:v>
      </x:c>
      <x:c r="R224" t="n">
        <x:f>COUNTIFS(Grunnspill!$A:$A,Annex!I224)</x:f>
        <x:v>0</x:v>
      </x:c>
    </x:row>
    <x:row r="225">
      <x:c r="A225">
        <x:v>222</x:v>
      </x:c>
      <x:c r="B225" s="1" t="s">
        <x:v>111</x:v>
      </x:c>
      <x:c r="C225" s="1" t="s">
        <x:v>116</x:v>
      </x:c>
      <x:c r="D225" s="1" t="s">
        <x:v>112</x:v>
      </x:c>
      <x:c r="E225" s="1" t="s">
        <x:v>121</x:v>
      </x:c>
      <x:c r="F225" s="1" t="s">
        <x:v>125</x:v>
      </x:c>
      <x:c r="G225" s="1" t="s">
        <x:v>114</x:v>
      </x:c>
      <x:c r="H225" s="1" t="s">
        <x:v>117</x:v>
      </x:c>
      <x:c r="I225" s="1" t="s">
        <x:v>113</x:v>
      </x:c>
      <x:c r="J225">
        <x:f t="shared" si="5"/>
        <x:v>0</x:v>
      </x:c>
      <x:c r="K225" t="n">
        <x:f>COUNTIFS(Grunnspill!$A:$A,Annex!B225)</x:f>
        <x:v>0</x:v>
      </x:c>
      <x:c r="L225" t="n">
        <x:f>COUNTIFS(Grunnspill!$A:$A,Annex!C225)</x:f>
        <x:v>0</x:v>
      </x:c>
      <x:c r="M225" t="n">
        <x:f>COUNTIFS(Grunnspill!$A:$A,Annex!D225)</x:f>
        <x:v>0</x:v>
      </x:c>
      <x:c r="N225" t="n">
        <x:f>COUNTIFS(Grunnspill!$A:$A,Annex!E225)</x:f>
        <x:v>0</x:v>
      </x:c>
      <x:c r="O225" t="n">
        <x:f>COUNTIFS(Grunnspill!$A:$A,Annex!F225)</x:f>
        <x:v>0</x:v>
      </x:c>
      <x:c r="P225" t="n">
        <x:f>COUNTIFS(Grunnspill!$A:$A,Annex!G225)</x:f>
        <x:v>0</x:v>
      </x:c>
      <x:c r="Q225" t="n">
        <x:f>COUNTIFS(Grunnspill!$A:$A,Annex!H225)</x:f>
        <x:v>0</x:v>
      </x:c>
      <x:c r="R225" t="n">
        <x:f>COUNTIFS(Grunnspill!$A:$A,Annex!I225)</x:f>
        <x:v>0</x:v>
      </x:c>
    </x:row>
    <x:row r="226">
      <x:c r="A226">
        <x:v>223</x:v>
      </x:c>
      <x:c r="B226" s="1" t="s">
        <x:v>111</x:v>
      </x:c>
      <x:c r="C226" s="1" t="s">
        <x:v>116</x:v>
      </x:c>
      <x:c r="D226" s="1" t="s">
        <x:v>112</x:v>
      </x:c>
      <x:c r="E226" s="1" t="s">
        <x:v>121</x:v>
      </x:c>
      <x:c r="F226" s="1" t="s">
        <x:v>125</x:v>
      </x:c>
      <x:c r="G226" s="1" t="s">
        <x:v>114</x:v>
      </x:c>
      <x:c r="H226" s="1" t="s">
        <x:v>113</x:v>
      </x:c>
      <x:c r="I226" s="1" t="s">
        <x:v>118</x:v>
      </x:c>
      <x:c r="J226">
        <x:f t="shared" si="5"/>
        <x:v>0</x:v>
      </x:c>
      <x:c r="K226" t="n">
        <x:f>COUNTIFS(Grunnspill!$A:$A,Annex!B226)</x:f>
        <x:v>0</x:v>
      </x:c>
      <x:c r="L226" t="n">
        <x:f>COUNTIFS(Grunnspill!$A:$A,Annex!C226)</x:f>
        <x:v>0</x:v>
      </x:c>
      <x:c r="M226" t="n">
        <x:f>COUNTIFS(Grunnspill!$A:$A,Annex!D226)</x:f>
        <x:v>0</x:v>
      </x:c>
      <x:c r="N226" t="n">
        <x:f>COUNTIFS(Grunnspill!$A:$A,Annex!E226)</x:f>
        <x:v>0</x:v>
      </x:c>
      <x:c r="O226" t="n">
        <x:f>COUNTIFS(Grunnspill!$A:$A,Annex!F226)</x:f>
        <x:v>0</x:v>
      </x:c>
      <x:c r="P226" t="n">
        <x:f>COUNTIFS(Grunnspill!$A:$A,Annex!G226)</x:f>
        <x:v>0</x:v>
      </x:c>
      <x:c r="Q226" t="n">
        <x:f>COUNTIFS(Grunnspill!$A:$A,Annex!H226)</x:f>
        <x:v>0</x:v>
      </x:c>
      <x:c r="R226" t="n">
        <x:f>COUNTIFS(Grunnspill!$A:$A,Annex!I226)</x:f>
        <x:v>0</x:v>
      </x:c>
    </x:row>
    <x:row r="227">
      <x:c r="A227">
        <x:v>224</x:v>
      </x:c>
      <x:c r="B227" s="1" t="s">
        <x:v>115</x:v>
      </x:c>
      <x:c r="C227" s="1" t="s">
        <x:v>116</x:v>
      </x:c>
      <x:c r="D227" s="1" t="s">
        <x:v>111</x:v>
      </x:c>
      <x:c r="E227" s="1" t="s">
        <x:v>121</x:v>
      </x:c>
      <x:c r="F227" s="1" t="s">
        <x:v>125</x:v>
      </x:c>
      <x:c r="G227" s="1" t="s">
        <x:v>114</x:v>
      </x:c>
      <x:c r="H227" s="1" t="s">
        <x:v>117</x:v>
      </x:c>
      <x:c r="I227" s="1" t="s">
        <x:v>118</x:v>
      </x:c>
      <x:c r="J227">
        <x:f t="shared" si="5"/>
        <x:v>0</x:v>
      </x:c>
      <x:c r="K227" t="n">
        <x:f>COUNTIFS(Grunnspill!$A:$A,Annex!B227)</x:f>
        <x:v>0</x:v>
      </x:c>
      <x:c r="L227" t="n">
        <x:f>COUNTIFS(Grunnspill!$A:$A,Annex!C227)</x:f>
        <x:v>0</x:v>
      </x:c>
      <x:c r="M227" t="n">
        <x:f>COUNTIFS(Grunnspill!$A:$A,Annex!D227)</x:f>
        <x:v>0</x:v>
      </x:c>
      <x:c r="N227" t="n">
        <x:f>COUNTIFS(Grunnspill!$A:$A,Annex!E227)</x:f>
        <x:v>0</x:v>
      </x:c>
      <x:c r="O227" t="n">
        <x:f>COUNTIFS(Grunnspill!$A:$A,Annex!F227)</x:f>
        <x:v>0</x:v>
      </x:c>
      <x:c r="P227" t="n">
        <x:f>COUNTIFS(Grunnspill!$A:$A,Annex!G227)</x:f>
        <x:v>0</x:v>
      </x:c>
      <x:c r="Q227" t="n">
        <x:f>COUNTIFS(Grunnspill!$A:$A,Annex!H227)</x:f>
        <x:v>0</x:v>
      </x:c>
      <x:c r="R227" t="n">
        <x:f>COUNTIFS(Grunnspill!$A:$A,Annex!I227)</x:f>
        <x:v>0</x:v>
      </x:c>
    </x:row>
    <x:row r="228">
      <x:c r="A228">
        <x:v>225</x:v>
      </x:c>
      <x:c r="B228" s="1" t="s">
        <x:v>115</x:v>
      </x:c>
      <x:c r="C228" s="1" t="s">
        <x:v>116</x:v>
      </x:c>
      <x:c r="D228" s="1" t="s">
        <x:v>112</x:v>
      </x:c>
      <x:c r="E228" s="1" t="s">
        <x:v>121</x:v>
      </x:c>
      <x:c r="F228" s="1" t="s">
        <x:v>125</x:v>
      </x:c>
      <x:c r="G228" s="1" t="s">
        <x:v>114</x:v>
      </x:c>
      <x:c r="H228" s="1" t="s">
        <x:v>117</x:v>
      </x:c>
      <x:c r="I228" s="1" t="s">
        <x:v>111</x:v>
      </x:c>
      <x:c r="J228">
        <x:f t="shared" si="5"/>
        <x:v>0</x:v>
      </x:c>
      <x:c r="K228" t="n">
        <x:f>COUNTIFS(Grunnspill!$A:$A,Annex!B228)</x:f>
        <x:v>0</x:v>
      </x:c>
      <x:c r="L228" t="n">
        <x:f>COUNTIFS(Grunnspill!$A:$A,Annex!C228)</x:f>
        <x:v>0</x:v>
      </x:c>
      <x:c r="M228" t="n">
        <x:f>COUNTIFS(Grunnspill!$A:$A,Annex!D228)</x:f>
        <x:v>0</x:v>
      </x:c>
      <x:c r="N228" t="n">
        <x:f>COUNTIFS(Grunnspill!$A:$A,Annex!E228)</x:f>
        <x:v>0</x:v>
      </x:c>
      <x:c r="O228" t="n">
        <x:f>COUNTIFS(Grunnspill!$A:$A,Annex!F228)</x:f>
        <x:v>0</x:v>
      </x:c>
      <x:c r="P228" t="n">
        <x:f>COUNTIFS(Grunnspill!$A:$A,Annex!G228)</x:f>
        <x:v>0</x:v>
      </x:c>
      <x:c r="Q228" t="n">
        <x:f>COUNTIFS(Grunnspill!$A:$A,Annex!H228)</x:f>
        <x:v>0</x:v>
      </x:c>
      <x:c r="R228" t="n">
        <x:f>COUNTIFS(Grunnspill!$A:$A,Annex!I228)</x:f>
        <x:v>0</x:v>
      </x:c>
    </x:row>
    <x:row r="229">
      <x:c r="A229">
        <x:v>226</x:v>
      </x:c>
      <x:c r="B229" s="1" t="s">
        <x:v>115</x:v>
      </x:c>
      <x:c r="C229" s="1" t="s">
        <x:v>116</x:v>
      </x:c>
      <x:c r="D229" s="1" t="s">
        <x:v>112</x:v>
      </x:c>
      <x:c r="E229" s="1" t="s">
        <x:v>121</x:v>
      </x:c>
      <x:c r="F229" s="1" t="s">
        <x:v>125</x:v>
      </x:c>
      <x:c r="G229" s="1" t="s">
        <x:v>114</x:v>
      </x:c>
      <x:c r="H229" s="1" t="s">
        <x:v>111</x:v>
      </x:c>
      <x:c r="I229" s="1" t="s">
        <x:v>118</x:v>
      </x:c>
      <x:c r="J229">
        <x:f t="shared" si="5"/>
        <x:v>0</x:v>
      </x:c>
      <x:c r="K229" t="n">
        <x:f>COUNTIFS(Grunnspill!$A:$A,Annex!B229)</x:f>
        <x:v>0</x:v>
      </x:c>
      <x:c r="L229" t="n">
        <x:f>COUNTIFS(Grunnspill!$A:$A,Annex!C229)</x:f>
        <x:v>0</x:v>
      </x:c>
      <x:c r="M229" t="n">
        <x:f>COUNTIFS(Grunnspill!$A:$A,Annex!D229)</x:f>
        <x:v>0</x:v>
      </x:c>
      <x:c r="N229" t="n">
        <x:f>COUNTIFS(Grunnspill!$A:$A,Annex!E229)</x:f>
        <x:v>0</x:v>
      </x:c>
      <x:c r="O229" t="n">
        <x:f>COUNTIFS(Grunnspill!$A:$A,Annex!F229)</x:f>
        <x:v>0</x:v>
      </x:c>
      <x:c r="P229" t="n">
        <x:f>COUNTIFS(Grunnspill!$A:$A,Annex!G229)</x:f>
        <x:v>0</x:v>
      </x:c>
      <x:c r="Q229" t="n">
        <x:f>COUNTIFS(Grunnspill!$A:$A,Annex!H229)</x:f>
        <x:v>0</x:v>
      </x:c>
      <x:c r="R229" t="n">
        <x:f>COUNTIFS(Grunnspill!$A:$A,Annex!I229)</x:f>
        <x:v>0</x:v>
      </x:c>
    </x:row>
    <x:row r="230">
      <x:c r="A230">
        <x:v>227</x:v>
      </x:c>
      <x:c r="B230" s="1" t="s">
        <x:v>115</x:v>
      </x:c>
      <x:c r="C230" s="1" t="s">
        <x:v>116</x:v>
      </x:c>
      <x:c r="D230" s="1" t="s">
        <x:v>111</x:v>
      </x:c>
      <x:c r="E230" s="1" t="s">
        <x:v>121</x:v>
      </x:c>
      <x:c r="F230" s="1" t="s">
        <x:v>125</x:v>
      </x:c>
      <x:c r="G230" s="1" t="s">
        <x:v>114</x:v>
      </x:c>
      <x:c r="H230" s="1" t="s">
        <x:v>117</x:v>
      </x:c>
      <x:c r="I230" s="1" t="s">
        <x:v>113</x:v>
      </x:c>
      <x:c r="J230">
        <x:f t="shared" si="5"/>
        <x:v>0</x:v>
      </x:c>
      <x:c r="K230" t="n">
        <x:f>COUNTIFS(Grunnspill!$A:$A,Annex!B230)</x:f>
        <x:v>0</x:v>
      </x:c>
      <x:c r="L230" t="n">
        <x:f>COUNTIFS(Grunnspill!$A:$A,Annex!C230)</x:f>
        <x:v>0</x:v>
      </x:c>
      <x:c r="M230" t="n">
        <x:f>COUNTIFS(Grunnspill!$A:$A,Annex!D230)</x:f>
        <x:v>0</x:v>
      </x:c>
      <x:c r="N230" t="n">
        <x:f>COUNTIFS(Grunnspill!$A:$A,Annex!E230)</x:f>
        <x:v>0</x:v>
      </x:c>
      <x:c r="O230" t="n">
        <x:f>COUNTIFS(Grunnspill!$A:$A,Annex!F230)</x:f>
        <x:v>0</x:v>
      </x:c>
      <x:c r="P230" t="n">
        <x:f>COUNTIFS(Grunnspill!$A:$A,Annex!G230)</x:f>
        <x:v>0</x:v>
      </x:c>
      <x:c r="Q230" t="n">
        <x:f>COUNTIFS(Grunnspill!$A:$A,Annex!H230)</x:f>
        <x:v>0</x:v>
      </x:c>
      <x:c r="R230" t="n">
        <x:f>COUNTIFS(Grunnspill!$A:$A,Annex!I230)</x:f>
        <x:v>0</x:v>
      </x:c>
    </x:row>
    <x:row r="231">
      <x:c r="A231">
        <x:v>228</x:v>
      </x:c>
      <x:c r="B231" s="1" t="s">
        <x:v>115</x:v>
      </x:c>
      <x:c r="C231" s="1" t="s">
        <x:v>116</x:v>
      </x:c>
      <x:c r="D231" s="1" t="s">
        <x:v>111</x:v>
      </x:c>
      <x:c r="E231" s="1" t="s">
        <x:v>121</x:v>
      </x:c>
      <x:c r="F231" s="1" t="s">
        <x:v>125</x:v>
      </x:c>
      <x:c r="G231" s="1" t="s">
        <x:v>114</x:v>
      </x:c>
      <x:c r="H231" s="1" t="s">
        <x:v>113</x:v>
      </x:c>
      <x:c r="I231" s="1" t="s">
        <x:v>118</x:v>
      </x:c>
      <x:c r="J231">
        <x:f t="shared" si="5"/>
        <x:v>0</x:v>
      </x:c>
      <x:c r="K231" t="n">
        <x:f>COUNTIFS(Grunnspill!$A:$A,Annex!B231)</x:f>
        <x:v>0</x:v>
      </x:c>
      <x:c r="L231" t="n">
        <x:f>COUNTIFS(Grunnspill!$A:$A,Annex!C231)</x:f>
        <x:v>0</x:v>
      </x:c>
      <x:c r="M231" t="n">
        <x:f>COUNTIFS(Grunnspill!$A:$A,Annex!D231)</x:f>
        <x:v>0</x:v>
      </x:c>
      <x:c r="N231" t="n">
        <x:f>COUNTIFS(Grunnspill!$A:$A,Annex!E231)</x:f>
        <x:v>0</x:v>
      </x:c>
      <x:c r="O231" t="n">
        <x:f>COUNTIFS(Grunnspill!$A:$A,Annex!F231)</x:f>
        <x:v>0</x:v>
      </x:c>
      <x:c r="P231" t="n">
        <x:f>COUNTIFS(Grunnspill!$A:$A,Annex!G231)</x:f>
        <x:v>0</x:v>
      </x:c>
      <x:c r="Q231" t="n">
        <x:f>COUNTIFS(Grunnspill!$A:$A,Annex!H231)</x:f>
        <x:v>0</x:v>
      </x:c>
      <x:c r="R231" t="n">
        <x:f>COUNTIFS(Grunnspill!$A:$A,Annex!I231)</x:f>
        <x:v>0</x:v>
      </x:c>
    </x:row>
    <x:row r="232">
      <x:c r="A232">
        <x:v>229</x:v>
      </x:c>
      <x:c r="B232" s="1" t="s">
        <x:v>115</x:v>
      </x:c>
      <x:c r="C232" s="1" t="s">
        <x:v>116</x:v>
      </x:c>
      <x:c r="D232" s="1" t="s">
        <x:v>112</x:v>
      </x:c>
      <x:c r="E232" s="1" t="s">
        <x:v>121</x:v>
      </x:c>
      <x:c r="F232" s="1" t="s">
        <x:v>125</x:v>
      </x:c>
      <x:c r="G232" s="1" t="s">
        <x:v>114</x:v>
      </x:c>
      <x:c r="H232" s="1" t="s">
        <x:v>111</x:v>
      </x:c>
      <x:c r="I232" s="1" t="s">
        <x:v>113</x:v>
      </x:c>
      <x:c r="J232">
        <x:f t="shared" si="5"/>
        <x:v>0</x:v>
      </x:c>
      <x:c r="K232" t="n">
        <x:f>COUNTIFS(Grunnspill!$A:$A,Annex!B232)</x:f>
        <x:v>0</x:v>
      </x:c>
      <x:c r="L232" t="n">
        <x:f>COUNTIFS(Grunnspill!$A:$A,Annex!C232)</x:f>
        <x:v>0</x:v>
      </x:c>
      <x:c r="M232" t="n">
        <x:f>COUNTIFS(Grunnspill!$A:$A,Annex!D232)</x:f>
        <x:v>0</x:v>
      </x:c>
      <x:c r="N232" t="n">
        <x:f>COUNTIFS(Grunnspill!$A:$A,Annex!E232)</x:f>
        <x:v>0</x:v>
      </x:c>
      <x:c r="O232" t="n">
        <x:f>COUNTIFS(Grunnspill!$A:$A,Annex!F232)</x:f>
        <x:v>0</x:v>
      </x:c>
      <x:c r="P232" t="n">
        <x:f>COUNTIFS(Grunnspill!$A:$A,Annex!G232)</x:f>
        <x:v>0</x:v>
      </x:c>
      <x:c r="Q232" t="n">
        <x:f>COUNTIFS(Grunnspill!$A:$A,Annex!H232)</x:f>
        <x:v>0</x:v>
      </x:c>
      <x:c r="R232" t="n">
        <x:f>COUNTIFS(Grunnspill!$A:$A,Annex!I232)</x:f>
        <x:v>0</x:v>
      </x:c>
    </x:row>
    <x:row r="233">
      <x:c r="A233">
        <x:v>230</x:v>
      </x:c>
      <x:c r="B233" s="1" t="s">
        <x:v>115</x:v>
      </x:c>
      <x:c r="C233" s="1" t="s">
        <x:v>112</x:v>
      </x:c>
      <x:c r="D233" s="1" t="s">
        <x:v>113</x:v>
      </x:c>
      <x:c r="E233" s="1" t="s">
        <x:v>121</x:v>
      </x:c>
      <x:c r="F233" s="1" t="s">
        <x:v>125</x:v>
      </x:c>
      <x:c r="G233" s="1" t="s">
        <x:v>120</x:v>
      </x:c>
      <x:c r="H233" s="1" t="s">
        <x:v>117</x:v>
      </x:c>
      <x:c r="I233" s="1" t="s">
        <x:v>118</x:v>
      </x:c>
      <x:c r="J233">
        <x:f t="shared" si="5"/>
        <x:v>0</x:v>
      </x:c>
      <x:c r="K233" t="n">
        <x:f>COUNTIFS(Grunnspill!$A:$A,Annex!B233)</x:f>
        <x:v>0</x:v>
      </x:c>
      <x:c r="L233" t="n">
        <x:f>COUNTIFS(Grunnspill!$A:$A,Annex!C233)</x:f>
        <x:v>0</x:v>
      </x:c>
      <x:c r="M233" t="n">
        <x:f>COUNTIFS(Grunnspill!$A:$A,Annex!D233)</x:f>
        <x:v>0</x:v>
      </x:c>
      <x:c r="N233" t="n">
        <x:f>COUNTIFS(Grunnspill!$A:$A,Annex!E233)</x:f>
        <x:v>0</x:v>
      </x:c>
      <x:c r="O233" t="n">
        <x:f>COUNTIFS(Grunnspill!$A:$A,Annex!F233)</x:f>
        <x:v>0</x:v>
      </x:c>
      <x:c r="P233" t="n">
        <x:f>COUNTIFS(Grunnspill!$A:$A,Annex!G233)</x:f>
        <x:v>0</x:v>
      </x:c>
      <x:c r="Q233" t="n">
        <x:f>COUNTIFS(Grunnspill!$A:$A,Annex!H233)</x:f>
        <x:v>0</x:v>
      </x:c>
      <x:c r="R233" t="n">
        <x:f>COUNTIFS(Grunnspill!$A:$A,Annex!I233)</x:f>
        <x:v>0</x:v>
      </x:c>
    </x:row>
    <x:row r="234">
      <x:c r="A234">
        <x:v>231</x:v>
      </x:c>
      <x:c r="B234" s="1" t="s">
        <x:v>113</x:v>
      </x:c>
      <x:c r="C234" s="1" t="s">
        <x:v>116</x:v>
      </x:c>
      <x:c r="D234" s="1" t="s">
        <x:v>112</x:v>
      </x:c>
      <x:c r="E234" s="1" t="s">
        <x:v>121</x:v>
      </x:c>
      <x:c r="F234" s="1" t="s">
        <x:v>125</x:v>
      </x:c>
      <x:c r="G234" s="1" t="s">
        <x:v>120</x:v>
      </x:c>
      <x:c r="H234" s="1" t="s">
        <x:v>117</x:v>
      </x:c>
      <x:c r="I234" s="1" t="s">
        <x:v>118</x:v>
      </x:c>
      <x:c r="J234">
        <x:f t="shared" si="5"/>
        <x:v>0</x:v>
      </x:c>
      <x:c r="K234" t="n">
        <x:f>COUNTIFS(Grunnspill!$A:$A,Annex!B234)</x:f>
        <x:v>0</x:v>
      </x:c>
      <x:c r="L234" t="n">
        <x:f>COUNTIFS(Grunnspill!$A:$A,Annex!C234)</x:f>
        <x:v>0</x:v>
      </x:c>
      <x:c r="M234" t="n">
        <x:f>COUNTIFS(Grunnspill!$A:$A,Annex!D234)</x:f>
        <x:v>0</x:v>
      </x:c>
      <x:c r="N234" t="n">
        <x:f>COUNTIFS(Grunnspill!$A:$A,Annex!E234)</x:f>
        <x:v>0</x:v>
      </x:c>
      <x:c r="O234" t="n">
        <x:f>COUNTIFS(Grunnspill!$A:$A,Annex!F234)</x:f>
        <x:v>0</x:v>
      </x:c>
      <x:c r="P234" t="n">
        <x:f>COUNTIFS(Grunnspill!$A:$A,Annex!G234)</x:f>
        <x:v>0</x:v>
      </x:c>
      <x:c r="Q234" t="n">
        <x:f>COUNTIFS(Grunnspill!$A:$A,Annex!H234)</x:f>
        <x:v>0</x:v>
      </x:c>
      <x:c r="R234" t="n">
        <x:f>COUNTIFS(Grunnspill!$A:$A,Annex!I234)</x:f>
        <x:v>0</x:v>
      </x:c>
    </x:row>
    <x:row r="235">
      <x:c r="A235">
        <x:v>232</x:v>
      </x:c>
      <x:c r="B235" s="1" t="s">
        <x:v>115</x:v>
      </x:c>
      <x:c r="C235" s="1" t="s">
        <x:v>116</x:v>
      </x:c>
      <x:c r="D235" s="1" t="s">
        <x:v>112</x:v>
      </x:c>
      <x:c r="E235" s="1" t="s">
        <x:v>121</x:v>
      </x:c>
      <x:c r="F235" s="1" t="s">
        <x:v>125</x:v>
      </x:c>
      <x:c r="G235" s="1" t="s">
        <x:v>120</x:v>
      </x:c>
      <x:c r="H235" s="1" t="s">
        <x:v>117</x:v>
      </x:c>
      <x:c r="I235" s="1" t="s">
        <x:v>118</x:v>
      </x:c>
      <x:c r="J235">
        <x:f t="shared" si="5"/>
        <x:v>0</x:v>
      </x:c>
      <x:c r="K235" t="n">
        <x:f>COUNTIFS(Grunnspill!$A:$A,Annex!B235)</x:f>
        <x:v>0</x:v>
      </x:c>
      <x:c r="L235" t="n">
        <x:f>COUNTIFS(Grunnspill!$A:$A,Annex!C235)</x:f>
        <x:v>0</x:v>
      </x:c>
      <x:c r="M235" t="n">
        <x:f>COUNTIFS(Grunnspill!$A:$A,Annex!D235)</x:f>
        <x:v>0</x:v>
      </x:c>
      <x:c r="N235" t="n">
        <x:f>COUNTIFS(Grunnspill!$A:$A,Annex!E235)</x:f>
        <x:v>0</x:v>
      </x:c>
      <x:c r="O235" t="n">
        <x:f>COUNTIFS(Grunnspill!$A:$A,Annex!F235)</x:f>
        <x:v>0</x:v>
      </x:c>
      <x:c r="P235" t="n">
        <x:f>COUNTIFS(Grunnspill!$A:$A,Annex!G235)</x:f>
        <x:v>0</x:v>
      </x:c>
      <x:c r="Q235" t="n">
        <x:f>COUNTIFS(Grunnspill!$A:$A,Annex!H235)</x:f>
        <x:v>0</x:v>
      </x:c>
      <x:c r="R235" t="n">
        <x:f>COUNTIFS(Grunnspill!$A:$A,Annex!I235)</x:f>
        <x:v>0</x:v>
      </x:c>
    </x:row>
    <x:row r="236">
      <x:c r="A236">
        <x:v>233</x:v>
      </x:c>
      <x:c r="B236" s="1" t="s">
        <x:v>115</x:v>
      </x:c>
      <x:c r="C236" s="1" t="s">
        <x:v>116</x:v>
      </x:c>
      <x:c r="D236" s="1" t="s">
        <x:v>113</x:v>
      </x:c>
      <x:c r="E236" s="1" t="s">
        <x:v>121</x:v>
      </x:c>
      <x:c r="F236" s="1" t="s">
        <x:v>125</x:v>
      </x:c>
      <x:c r="G236" s="1" t="s">
        <x:v>120</x:v>
      </x:c>
      <x:c r="H236" s="1" t="s">
        <x:v>117</x:v>
      </x:c>
      <x:c r="I236" s="1" t="s">
        <x:v>118</x:v>
      </x:c>
      <x:c r="J236">
        <x:f t="shared" si="5"/>
        <x:v>0</x:v>
      </x:c>
      <x:c r="K236" t="n">
        <x:f>COUNTIFS(Grunnspill!$A:$A,Annex!B236)</x:f>
        <x:v>0</x:v>
      </x:c>
      <x:c r="L236" t="n">
        <x:f>COUNTIFS(Grunnspill!$A:$A,Annex!C236)</x:f>
        <x:v>0</x:v>
      </x:c>
      <x:c r="M236" t="n">
        <x:f>COUNTIFS(Grunnspill!$A:$A,Annex!D236)</x:f>
        <x:v>0</x:v>
      </x:c>
      <x:c r="N236" t="n">
        <x:f>COUNTIFS(Grunnspill!$A:$A,Annex!E236)</x:f>
        <x:v>0</x:v>
      </x:c>
      <x:c r="O236" t="n">
        <x:f>COUNTIFS(Grunnspill!$A:$A,Annex!F236)</x:f>
        <x:v>0</x:v>
      </x:c>
      <x:c r="P236" t="n">
        <x:f>COUNTIFS(Grunnspill!$A:$A,Annex!G236)</x:f>
        <x:v>0</x:v>
      </x:c>
      <x:c r="Q236" t="n">
        <x:f>COUNTIFS(Grunnspill!$A:$A,Annex!H236)</x:f>
        <x:v>0</x:v>
      </x:c>
      <x:c r="R236" t="n">
        <x:f>COUNTIFS(Grunnspill!$A:$A,Annex!I236)</x:f>
        <x:v>0</x:v>
      </x:c>
    </x:row>
    <x:row r="237">
      <x:c r="A237">
        <x:v>234</x:v>
      </x:c>
      <x:c r="B237" s="1" t="s">
        <x:v>115</x:v>
      </x:c>
      <x:c r="C237" s="1" t="s">
        <x:v>116</x:v>
      </x:c>
      <x:c r="D237" s="1" t="s">
        <x:v>112</x:v>
      </x:c>
      <x:c r="E237" s="1" t="s">
        <x:v>121</x:v>
      </x:c>
      <x:c r="F237" s="1" t="s">
        <x:v>125</x:v>
      </x:c>
      <x:c r="G237" s="1" t="s">
        <x:v>120</x:v>
      </x:c>
      <x:c r="H237" s="1" t="s">
        <x:v>117</x:v>
      </x:c>
      <x:c r="I237" s="1" t="s">
        <x:v>113</x:v>
      </x:c>
      <x:c r="J237">
        <x:f t="shared" si="5"/>
        <x:v>0</x:v>
      </x:c>
      <x:c r="K237" t="n">
        <x:f>COUNTIFS(Grunnspill!$A:$A,Annex!B237)</x:f>
        <x:v>0</x:v>
      </x:c>
      <x:c r="L237" t="n">
        <x:f>COUNTIFS(Grunnspill!$A:$A,Annex!C237)</x:f>
        <x:v>0</x:v>
      </x:c>
      <x:c r="M237" t="n">
        <x:f>COUNTIFS(Grunnspill!$A:$A,Annex!D237)</x:f>
        <x:v>0</x:v>
      </x:c>
      <x:c r="N237" t="n">
        <x:f>COUNTIFS(Grunnspill!$A:$A,Annex!E237)</x:f>
        <x:v>0</x:v>
      </x:c>
      <x:c r="O237" t="n">
        <x:f>COUNTIFS(Grunnspill!$A:$A,Annex!F237)</x:f>
        <x:v>0</x:v>
      </x:c>
      <x:c r="P237" t="n">
        <x:f>COUNTIFS(Grunnspill!$A:$A,Annex!G237)</x:f>
        <x:v>0</x:v>
      </x:c>
      <x:c r="Q237" t="n">
        <x:f>COUNTIFS(Grunnspill!$A:$A,Annex!H237)</x:f>
        <x:v>0</x:v>
      </x:c>
      <x:c r="R237" t="n">
        <x:f>COUNTIFS(Grunnspill!$A:$A,Annex!I237)</x:f>
        <x:v>0</x:v>
      </x:c>
    </x:row>
    <x:row r="238">
      <x:c r="A238">
        <x:v>235</x:v>
      </x:c>
      <x:c r="B238" s="1" t="s">
        <x:v>115</x:v>
      </x:c>
      <x:c r="C238" s="1" t="s">
        <x:v>116</x:v>
      </x:c>
      <x:c r="D238" s="1" t="s">
        <x:v>112</x:v>
      </x:c>
      <x:c r="E238" s="1" t="s">
        <x:v>121</x:v>
      </x:c>
      <x:c r="F238" s="1" t="s">
        <x:v>125</x:v>
      </x:c>
      <x:c r="G238" s="1" t="s">
        <x:v>120</x:v>
      </x:c>
      <x:c r="H238" s="1" t="s">
        <x:v>113</x:v>
      </x:c>
      <x:c r="I238" s="1" t="s">
        <x:v>118</x:v>
      </x:c>
      <x:c r="J238">
        <x:f t="shared" si="5"/>
        <x:v>0</x:v>
      </x:c>
      <x:c r="K238" t="n">
        <x:f>COUNTIFS(Grunnspill!$A:$A,Annex!B238)</x:f>
        <x:v>0</x:v>
      </x:c>
      <x:c r="L238" t="n">
        <x:f>COUNTIFS(Grunnspill!$A:$A,Annex!C238)</x:f>
        <x:v>0</x:v>
      </x:c>
      <x:c r="M238" t="n">
        <x:f>COUNTIFS(Grunnspill!$A:$A,Annex!D238)</x:f>
        <x:v>0</x:v>
      </x:c>
      <x:c r="N238" t="n">
        <x:f>COUNTIFS(Grunnspill!$A:$A,Annex!E238)</x:f>
        <x:v>0</x:v>
      </x:c>
      <x:c r="O238" t="n">
        <x:f>COUNTIFS(Grunnspill!$A:$A,Annex!F238)</x:f>
        <x:v>0</x:v>
      </x:c>
      <x:c r="P238" t="n">
        <x:f>COUNTIFS(Grunnspill!$A:$A,Annex!G238)</x:f>
        <x:v>0</x:v>
      </x:c>
      <x:c r="Q238" t="n">
        <x:f>COUNTIFS(Grunnspill!$A:$A,Annex!H238)</x:f>
        <x:v>0</x:v>
      </x:c>
      <x:c r="R238" t="n">
        <x:f>COUNTIFS(Grunnspill!$A:$A,Annex!I238)</x:f>
        <x:v>0</x:v>
      </x:c>
    </x:row>
    <x:row r="239">
      <x:c r="A239">
        <x:v>236</x:v>
      </x:c>
      <x:c r="B239" s="1" t="s">
        <x:v>121</x:v>
      </x:c>
      <x:c r="C239" s="1" t="s">
        <x:v>112</x:v>
      </x:c>
      <x:c r="D239" s="1" t="s">
        <x:v>113</x:v>
      </x:c>
      <x:c r="E239" s="1" t="s">
        <x:v>120</x:v>
      </x:c>
      <x:c r="F239" s="1" t="s">
        <x:v>125</x:v>
      </x:c>
      <x:c r="G239" s="1" t="s">
        <x:v>114</x:v>
      </x:c>
      <x:c r="H239" s="1" t="s">
        <x:v>117</x:v>
      </x:c>
      <x:c r="I239" s="1" t="s">
        <x:v>118</x:v>
      </x:c>
      <x:c r="J239">
        <x:f t="shared" si="5"/>
        <x:v>0</x:v>
      </x:c>
      <x:c r="K239" t="n">
        <x:f>COUNTIFS(Grunnspill!$A:$A,Annex!B239)</x:f>
        <x:v>0</x:v>
      </x:c>
      <x:c r="L239" t="n">
        <x:f>COUNTIFS(Grunnspill!$A:$A,Annex!C239)</x:f>
        <x:v>0</x:v>
      </x:c>
      <x:c r="M239" t="n">
        <x:f>COUNTIFS(Grunnspill!$A:$A,Annex!D239)</x:f>
        <x:v>0</x:v>
      </x:c>
      <x:c r="N239" t="n">
        <x:f>COUNTIFS(Grunnspill!$A:$A,Annex!E239)</x:f>
        <x:v>0</x:v>
      </x:c>
      <x:c r="O239" t="n">
        <x:f>COUNTIFS(Grunnspill!$A:$A,Annex!F239)</x:f>
        <x:v>0</x:v>
      </x:c>
      <x:c r="P239" t="n">
        <x:f>COUNTIFS(Grunnspill!$A:$A,Annex!G239)</x:f>
        <x:v>0</x:v>
      </x:c>
      <x:c r="Q239" t="n">
        <x:f>COUNTIFS(Grunnspill!$A:$A,Annex!H239)</x:f>
        <x:v>0</x:v>
      </x:c>
      <x:c r="R239" t="n">
        <x:f>COUNTIFS(Grunnspill!$A:$A,Annex!I239)</x:f>
        <x:v>0</x:v>
      </x:c>
    </x:row>
    <x:row r="240">
      <x:c r="A240">
        <x:v>237</x:v>
      </x:c>
      <x:c r="B240" s="1" t="s">
        <x:v>115</x:v>
      </x:c>
      <x:c r="C240" s="1" t="s">
        <x:v>112</x:v>
      </x:c>
      <x:c r="D240" s="1" t="s">
        <x:v>114</x:v>
      </x:c>
      <x:c r="E240" s="1" t="s">
        <x:v>121</x:v>
      </x:c>
      <x:c r="F240" s="1" t="s">
        <x:v>125</x:v>
      </x:c>
      <x:c r="G240" s="1" t="s">
        <x:v>120</x:v>
      </x:c>
      <x:c r="H240" s="1" t="s">
        <x:v>117</x:v>
      </x:c>
      <x:c r="I240" s="1" t="s">
        <x:v>118</x:v>
      </x:c>
      <x:c r="J240">
        <x:f t="shared" si="5"/>
        <x:v>0</x:v>
      </x:c>
      <x:c r="K240" t="n">
        <x:f>COUNTIFS(Grunnspill!$A:$A,Annex!B240)</x:f>
        <x:v>0</x:v>
      </x:c>
      <x:c r="L240" t="n">
        <x:f>COUNTIFS(Grunnspill!$A:$A,Annex!C240)</x:f>
        <x:v>0</x:v>
      </x:c>
      <x:c r="M240" t="n">
        <x:f>COUNTIFS(Grunnspill!$A:$A,Annex!D240)</x:f>
        <x:v>0</x:v>
      </x:c>
      <x:c r="N240" t="n">
        <x:f>COUNTIFS(Grunnspill!$A:$A,Annex!E240)</x:f>
        <x:v>0</x:v>
      </x:c>
      <x:c r="O240" t="n">
        <x:f>COUNTIFS(Grunnspill!$A:$A,Annex!F240)</x:f>
        <x:v>0</x:v>
      </x:c>
      <x:c r="P240" t="n">
        <x:f>COUNTIFS(Grunnspill!$A:$A,Annex!G240)</x:f>
        <x:v>0</x:v>
      </x:c>
      <x:c r="Q240" t="n">
        <x:f>COUNTIFS(Grunnspill!$A:$A,Annex!H240)</x:f>
        <x:v>0</x:v>
      </x:c>
      <x:c r="R240" t="n">
        <x:f>COUNTIFS(Grunnspill!$A:$A,Annex!I240)</x:f>
        <x:v>0</x:v>
      </x:c>
    </x:row>
    <x:row r="241">
      <x:c r="A241">
        <x:v>238</x:v>
      </x:c>
      <x:c r="B241" s="1" t="s">
        <x:v>115</x:v>
      </x:c>
      <x:c r="C241" s="1" t="s">
        <x:v>114</x:v>
      </x:c>
      <x:c r="D241" s="1" t="s">
        <x:v>113</x:v>
      </x:c>
      <x:c r="E241" s="1" t="s">
        <x:v>121</x:v>
      </x:c>
      <x:c r="F241" s="1" t="s">
        <x:v>125</x:v>
      </x:c>
      <x:c r="G241" s="1" t="s">
        <x:v>120</x:v>
      </x:c>
      <x:c r="H241" s="1" t="s">
        <x:v>117</x:v>
      </x:c>
      <x:c r="I241" s="1" t="s">
        <x:v>118</x:v>
      </x:c>
      <x:c r="J241">
        <x:f t="shared" si="5"/>
        <x:v>0</x:v>
      </x:c>
      <x:c r="K241" t="n">
        <x:f>COUNTIFS(Grunnspill!$A:$A,Annex!B241)</x:f>
        <x:v>0</x:v>
      </x:c>
      <x:c r="L241" t="n">
        <x:f>COUNTIFS(Grunnspill!$A:$A,Annex!C241)</x:f>
        <x:v>0</x:v>
      </x:c>
      <x:c r="M241" t="n">
        <x:f>COUNTIFS(Grunnspill!$A:$A,Annex!D241)</x:f>
        <x:v>0</x:v>
      </x:c>
      <x:c r="N241" t="n">
        <x:f>COUNTIFS(Grunnspill!$A:$A,Annex!E241)</x:f>
        <x:v>0</x:v>
      </x:c>
      <x:c r="O241" t="n">
        <x:f>COUNTIFS(Grunnspill!$A:$A,Annex!F241)</x:f>
        <x:v>0</x:v>
      </x:c>
      <x:c r="P241" t="n">
        <x:f>COUNTIFS(Grunnspill!$A:$A,Annex!G241)</x:f>
        <x:v>0</x:v>
      </x:c>
      <x:c r="Q241" t="n">
        <x:f>COUNTIFS(Grunnspill!$A:$A,Annex!H241)</x:f>
        <x:v>0</x:v>
      </x:c>
      <x:c r="R241" t="n">
        <x:f>COUNTIFS(Grunnspill!$A:$A,Annex!I241)</x:f>
        <x:v>0</x:v>
      </x:c>
    </x:row>
    <x:row r="242">
      <x:c r="A242">
        <x:v>239</x:v>
      </x:c>
      <x:c r="B242" s="1" t="s">
        <x:v>115</x:v>
      </x:c>
      <x:c r="C242" s="1" t="s">
        <x:v>112</x:v>
      </x:c>
      <x:c r="D242" s="1" t="s">
        <x:v>114</x:v>
      </x:c>
      <x:c r="E242" s="1" t="s">
        <x:v>121</x:v>
      </x:c>
      <x:c r="F242" s="1" t="s">
        <x:v>125</x:v>
      </x:c>
      <x:c r="G242" s="1" t="s">
        <x:v>120</x:v>
      </x:c>
      <x:c r="H242" s="1" t="s">
        <x:v>117</x:v>
      </x:c>
      <x:c r="I242" s="1" t="s">
        <x:v>113</x:v>
      </x:c>
      <x:c r="J242">
        <x:f t="shared" si="5"/>
        <x:v>0</x:v>
      </x:c>
      <x:c r="K242" t="n">
        <x:f>COUNTIFS(Grunnspill!$A:$A,Annex!B242)</x:f>
        <x:v>0</x:v>
      </x:c>
      <x:c r="L242" t="n">
        <x:f>COUNTIFS(Grunnspill!$A:$A,Annex!C242)</x:f>
        <x:v>0</x:v>
      </x:c>
      <x:c r="M242" t="n">
        <x:f>COUNTIFS(Grunnspill!$A:$A,Annex!D242)</x:f>
        <x:v>0</x:v>
      </x:c>
      <x:c r="N242" t="n">
        <x:f>COUNTIFS(Grunnspill!$A:$A,Annex!E242)</x:f>
        <x:v>0</x:v>
      </x:c>
      <x:c r="O242" t="n">
        <x:f>COUNTIFS(Grunnspill!$A:$A,Annex!F242)</x:f>
        <x:v>0</x:v>
      </x:c>
      <x:c r="P242" t="n">
        <x:f>COUNTIFS(Grunnspill!$A:$A,Annex!G242)</x:f>
        <x:v>0</x:v>
      </x:c>
      <x:c r="Q242" t="n">
        <x:f>COUNTIFS(Grunnspill!$A:$A,Annex!H242)</x:f>
        <x:v>0</x:v>
      </x:c>
      <x:c r="R242" t="n">
        <x:f>COUNTIFS(Grunnspill!$A:$A,Annex!I242)</x:f>
        <x:v>0</x:v>
      </x:c>
    </x:row>
    <x:row r="243">
      <x:c r="A243">
        <x:v>240</x:v>
      </x:c>
      <x:c r="B243" s="1" t="s">
        <x:v>115</x:v>
      </x:c>
      <x:c r="C243" s="1" t="s">
        <x:v>112</x:v>
      </x:c>
      <x:c r="D243" s="1" t="s">
        <x:v>114</x:v>
      </x:c>
      <x:c r="E243" s="1" t="s">
        <x:v>121</x:v>
      </x:c>
      <x:c r="F243" s="1" t="s">
        <x:v>125</x:v>
      </x:c>
      <x:c r="G243" s="1" t="s">
        <x:v>120</x:v>
      </x:c>
      <x:c r="H243" s="1" t="s">
        <x:v>113</x:v>
      </x:c>
      <x:c r="I243" s="1" t="s">
        <x:v>118</x:v>
      </x:c>
      <x:c r="J243">
        <x:f t="shared" si="5"/>
        <x:v>0</x:v>
      </x:c>
      <x:c r="K243" t="n">
        <x:f>COUNTIFS(Grunnspill!$A:$A,Annex!B243)</x:f>
        <x:v>0</x:v>
      </x:c>
      <x:c r="L243" t="n">
        <x:f>COUNTIFS(Grunnspill!$A:$A,Annex!C243)</x:f>
        <x:v>0</x:v>
      </x:c>
      <x:c r="M243" t="n">
        <x:f>COUNTIFS(Grunnspill!$A:$A,Annex!D243)</x:f>
        <x:v>0</x:v>
      </x:c>
      <x:c r="N243" t="n">
        <x:f>COUNTIFS(Grunnspill!$A:$A,Annex!E243)</x:f>
        <x:v>0</x:v>
      </x:c>
      <x:c r="O243" t="n">
        <x:f>COUNTIFS(Grunnspill!$A:$A,Annex!F243)</x:f>
        <x:v>0</x:v>
      </x:c>
      <x:c r="P243" t="n">
        <x:f>COUNTIFS(Grunnspill!$A:$A,Annex!G243)</x:f>
        <x:v>0</x:v>
      </x:c>
      <x:c r="Q243" t="n">
        <x:f>COUNTIFS(Grunnspill!$A:$A,Annex!H243)</x:f>
        <x:v>0</x:v>
      </x:c>
      <x:c r="R243" t="n">
        <x:f>COUNTIFS(Grunnspill!$A:$A,Annex!I243)</x:f>
        <x:v>0</x:v>
      </x:c>
    </x:row>
    <x:row r="244">
      <x:c r="A244">
        <x:v>241</x:v>
      </x:c>
      <x:c r="B244" s="1" t="s">
        <x:v>121</x:v>
      </x:c>
      <x:c r="C244" s="1" t="s">
        <x:v>116</x:v>
      </x:c>
      <x:c r="D244" s="1" t="s">
        <x:v>112</x:v>
      </x:c>
      <x:c r="E244" s="1" t="s">
        <x:v>120</x:v>
      </x:c>
      <x:c r="F244" s="1" t="s">
        <x:v>125</x:v>
      </x:c>
      <x:c r="G244" s="1" t="s">
        <x:v>114</x:v>
      </x:c>
      <x:c r="H244" s="1" t="s">
        <x:v>117</x:v>
      </x:c>
      <x:c r="I244" s="1" t="s">
        <x:v>118</x:v>
      </x:c>
      <x:c r="J244">
        <x:f t="shared" si="5"/>
        <x:v>0</x:v>
      </x:c>
      <x:c r="K244" t="n">
        <x:f>COUNTIFS(Grunnspill!$A:$A,Annex!B244)</x:f>
        <x:v>0</x:v>
      </x:c>
      <x:c r="L244" t="n">
        <x:f>COUNTIFS(Grunnspill!$A:$A,Annex!C244)</x:f>
        <x:v>0</x:v>
      </x:c>
      <x:c r="M244" t="n">
        <x:f>COUNTIFS(Grunnspill!$A:$A,Annex!D244)</x:f>
        <x:v>0</x:v>
      </x:c>
      <x:c r="N244" t="n">
        <x:f>COUNTIFS(Grunnspill!$A:$A,Annex!E244)</x:f>
        <x:v>0</x:v>
      </x:c>
      <x:c r="O244" t="n">
        <x:f>COUNTIFS(Grunnspill!$A:$A,Annex!F244)</x:f>
        <x:v>0</x:v>
      </x:c>
      <x:c r="P244" t="n">
        <x:f>COUNTIFS(Grunnspill!$A:$A,Annex!G244)</x:f>
        <x:v>0</x:v>
      </x:c>
      <x:c r="Q244" t="n">
        <x:f>COUNTIFS(Grunnspill!$A:$A,Annex!H244)</x:f>
        <x:v>0</x:v>
      </x:c>
      <x:c r="R244" t="n">
        <x:f>COUNTIFS(Grunnspill!$A:$A,Annex!I244)</x:f>
        <x:v>0</x:v>
      </x:c>
    </x:row>
    <x:row r="245">
      <x:c r="A245">
        <x:v>242</x:v>
      </x:c>
      <x:c r="B245" s="1" t="s">
        <x:v>121</x:v>
      </x:c>
      <x:c r="C245" s="1" t="s">
        <x:v>116</x:v>
      </x:c>
      <x:c r="D245" s="1" t="s">
        <x:v>113</x:v>
      </x:c>
      <x:c r="E245" s="1" t="s">
        <x:v>120</x:v>
      </x:c>
      <x:c r="F245" s="1" t="s">
        <x:v>125</x:v>
      </x:c>
      <x:c r="G245" s="1" t="s">
        <x:v>114</x:v>
      </x:c>
      <x:c r="H245" s="1" t="s">
        <x:v>117</x:v>
      </x:c>
      <x:c r="I245" s="1" t="s">
        <x:v>118</x:v>
      </x:c>
      <x:c r="J245">
        <x:f t="shared" si="5"/>
        <x:v>0</x:v>
      </x:c>
      <x:c r="K245" t="n">
        <x:f>COUNTIFS(Grunnspill!$A:$A,Annex!B245)</x:f>
        <x:v>0</x:v>
      </x:c>
      <x:c r="L245" t="n">
        <x:f>COUNTIFS(Grunnspill!$A:$A,Annex!C245)</x:f>
        <x:v>0</x:v>
      </x:c>
      <x:c r="M245" t="n">
        <x:f>COUNTIFS(Grunnspill!$A:$A,Annex!D245)</x:f>
        <x:v>0</x:v>
      </x:c>
      <x:c r="N245" t="n">
        <x:f>COUNTIFS(Grunnspill!$A:$A,Annex!E245)</x:f>
        <x:v>0</x:v>
      </x:c>
      <x:c r="O245" t="n">
        <x:f>COUNTIFS(Grunnspill!$A:$A,Annex!F245)</x:f>
        <x:v>0</x:v>
      </x:c>
      <x:c r="P245" t="n">
        <x:f>COUNTIFS(Grunnspill!$A:$A,Annex!G245)</x:f>
        <x:v>0</x:v>
      </x:c>
      <x:c r="Q245" t="n">
        <x:f>COUNTIFS(Grunnspill!$A:$A,Annex!H245)</x:f>
        <x:v>0</x:v>
      </x:c>
      <x:c r="R245" t="n">
        <x:f>COUNTIFS(Grunnspill!$A:$A,Annex!I245)</x:f>
        <x:v>0</x:v>
      </x:c>
    </x:row>
    <x:row r="246">
      <x:c r="A246">
        <x:v>243</x:v>
      </x:c>
      <x:c r="B246" s="1" t="s">
        <x:v>121</x:v>
      </x:c>
      <x:c r="C246" s="1" t="s">
        <x:v>116</x:v>
      </x:c>
      <x:c r="D246" s="1" t="s">
        <x:v>112</x:v>
      </x:c>
      <x:c r="E246" s="1" t="s">
        <x:v>120</x:v>
      </x:c>
      <x:c r="F246" s="1" t="s">
        <x:v>125</x:v>
      </x:c>
      <x:c r="G246" s="1" t="s">
        <x:v>114</x:v>
      </x:c>
      <x:c r="H246" s="1" t="s">
        <x:v>117</x:v>
      </x:c>
      <x:c r="I246" s="1" t="s">
        <x:v>113</x:v>
      </x:c>
      <x:c r="J246">
        <x:f t="shared" si="5"/>
        <x:v>0</x:v>
      </x:c>
      <x:c r="K246" t="n">
        <x:f>COUNTIFS(Grunnspill!$A:$A,Annex!B246)</x:f>
        <x:v>0</x:v>
      </x:c>
      <x:c r="L246" t="n">
        <x:f>COUNTIFS(Grunnspill!$A:$A,Annex!C246)</x:f>
        <x:v>0</x:v>
      </x:c>
      <x:c r="M246" t="n">
        <x:f>COUNTIFS(Grunnspill!$A:$A,Annex!D246)</x:f>
        <x:v>0</x:v>
      </x:c>
      <x:c r="N246" t="n">
        <x:f>COUNTIFS(Grunnspill!$A:$A,Annex!E246)</x:f>
        <x:v>0</x:v>
      </x:c>
      <x:c r="O246" t="n">
        <x:f>COUNTIFS(Grunnspill!$A:$A,Annex!F246)</x:f>
        <x:v>0</x:v>
      </x:c>
      <x:c r="P246" t="n">
        <x:f>COUNTIFS(Grunnspill!$A:$A,Annex!G246)</x:f>
        <x:v>0</x:v>
      </x:c>
      <x:c r="Q246" t="n">
        <x:f>COUNTIFS(Grunnspill!$A:$A,Annex!H246)</x:f>
        <x:v>0</x:v>
      </x:c>
      <x:c r="R246" t="n">
        <x:f>COUNTIFS(Grunnspill!$A:$A,Annex!I246)</x:f>
        <x:v>0</x:v>
      </x:c>
    </x:row>
    <x:row r="247">
      <x:c r="A247">
        <x:v>244</x:v>
      </x:c>
      <x:c r="B247" s="1" t="s">
        <x:v>121</x:v>
      </x:c>
      <x:c r="C247" s="1" t="s">
        <x:v>116</x:v>
      </x:c>
      <x:c r="D247" s="1" t="s">
        <x:v>112</x:v>
      </x:c>
      <x:c r="E247" s="1" t="s">
        <x:v>120</x:v>
      </x:c>
      <x:c r="F247" s="1" t="s">
        <x:v>125</x:v>
      </x:c>
      <x:c r="G247" s="1" t="s">
        <x:v>114</x:v>
      </x:c>
      <x:c r="H247" s="1" t="s">
        <x:v>113</x:v>
      </x:c>
      <x:c r="I247" s="1" t="s">
        <x:v>118</x:v>
      </x:c>
      <x:c r="J247">
        <x:f t="shared" si="5"/>
        <x:v>0</x:v>
      </x:c>
      <x:c r="K247" t="n">
        <x:f>COUNTIFS(Grunnspill!$A:$A,Annex!B247)</x:f>
        <x:v>0</x:v>
      </x:c>
      <x:c r="L247" t="n">
        <x:f>COUNTIFS(Grunnspill!$A:$A,Annex!C247)</x:f>
        <x:v>0</x:v>
      </x:c>
      <x:c r="M247" t="n">
        <x:f>COUNTIFS(Grunnspill!$A:$A,Annex!D247)</x:f>
        <x:v>0</x:v>
      </x:c>
      <x:c r="N247" t="n">
        <x:f>COUNTIFS(Grunnspill!$A:$A,Annex!E247)</x:f>
        <x:v>0</x:v>
      </x:c>
      <x:c r="O247" t="n">
        <x:f>COUNTIFS(Grunnspill!$A:$A,Annex!F247)</x:f>
        <x:v>0</x:v>
      </x:c>
      <x:c r="P247" t="n">
        <x:f>COUNTIFS(Grunnspill!$A:$A,Annex!G247)</x:f>
        <x:v>0</x:v>
      </x:c>
      <x:c r="Q247" t="n">
        <x:f>COUNTIFS(Grunnspill!$A:$A,Annex!H247)</x:f>
        <x:v>0</x:v>
      </x:c>
      <x:c r="R247" t="n">
        <x:f>COUNTIFS(Grunnspill!$A:$A,Annex!I247)</x:f>
        <x:v>0</x:v>
      </x:c>
    </x:row>
    <x:row r="248">
      <x:c r="A248">
        <x:v>245</x:v>
      </x:c>
      <x:c r="B248" s="1" t="s">
        <x:v>115</x:v>
      </x:c>
      <x:c r="C248" s="1" t="s">
        <x:v>116</x:v>
      </x:c>
      <x:c r="D248" s="1" t="s">
        <x:v>114</x:v>
      </x:c>
      <x:c r="E248" s="1" t="s">
        <x:v>121</x:v>
      </x:c>
      <x:c r="F248" s="1" t="s">
        <x:v>125</x:v>
      </x:c>
      <x:c r="G248" s="1" t="s">
        <x:v>120</x:v>
      </x:c>
      <x:c r="H248" s="1" t="s">
        <x:v>117</x:v>
      </x:c>
      <x:c r="I248" s="1" t="s">
        <x:v>118</x:v>
      </x:c>
      <x:c r="J248">
        <x:f t="shared" si="5"/>
        <x:v>0</x:v>
      </x:c>
      <x:c r="K248" t="n">
        <x:f>COUNTIFS(Grunnspill!$A:$A,Annex!B248)</x:f>
        <x:v>0</x:v>
      </x:c>
      <x:c r="L248" t="n">
        <x:f>COUNTIFS(Grunnspill!$A:$A,Annex!C248)</x:f>
        <x:v>0</x:v>
      </x:c>
      <x:c r="M248" t="n">
        <x:f>COUNTIFS(Grunnspill!$A:$A,Annex!D248)</x:f>
        <x:v>0</x:v>
      </x:c>
      <x:c r="N248" t="n">
        <x:f>COUNTIFS(Grunnspill!$A:$A,Annex!E248)</x:f>
        <x:v>0</x:v>
      </x:c>
      <x:c r="O248" t="n">
        <x:f>COUNTIFS(Grunnspill!$A:$A,Annex!F248)</x:f>
        <x:v>0</x:v>
      </x:c>
      <x:c r="P248" t="n">
        <x:f>COUNTIFS(Grunnspill!$A:$A,Annex!G248)</x:f>
        <x:v>0</x:v>
      </x:c>
      <x:c r="Q248" t="n">
        <x:f>COUNTIFS(Grunnspill!$A:$A,Annex!H248)</x:f>
        <x:v>0</x:v>
      </x:c>
      <x:c r="R248" t="n">
        <x:f>COUNTIFS(Grunnspill!$A:$A,Annex!I248)</x:f>
        <x:v>0</x:v>
      </x:c>
    </x:row>
    <x:row r="249">
      <x:c r="A249">
        <x:v>246</x:v>
      </x:c>
      <x:c r="B249" s="1" t="s">
        <x:v>121</x:v>
      </x:c>
      <x:c r="C249" s="1" t="s">
        <x:v>116</x:v>
      </x:c>
      <x:c r="D249" s="1" t="s">
        <x:v>112</x:v>
      </x:c>
      <x:c r="E249" s="1" t="s">
        <x:v>120</x:v>
      </x:c>
      <x:c r="F249" s="1" t="s">
        <x:v>125</x:v>
      </x:c>
      <x:c r="G249" s="1" t="s">
        <x:v>114</x:v>
      </x:c>
      <x:c r="H249" s="1" t="s">
        <x:v>117</x:v>
      </x:c>
      <x:c r="I249" s="1" t="s">
        <x:v>115</x:v>
      </x:c>
      <x:c r="J249">
        <x:f t="shared" si="5"/>
        <x:v>0</x:v>
      </x:c>
      <x:c r="K249" t="n">
        <x:f>COUNTIFS(Grunnspill!$A:$A,Annex!B249)</x:f>
        <x:v>0</x:v>
      </x:c>
      <x:c r="L249" t="n">
        <x:f>COUNTIFS(Grunnspill!$A:$A,Annex!C249)</x:f>
        <x:v>0</x:v>
      </x:c>
      <x:c r="M249" t="n">
        <x:f>COUNTIFS(Grunnspill!$A:$A,Annex!D249)</x:f>
        <x:v>0</x:v>
      </x:c>
      <x:c r="N249" t="n">
        <x:f>COUNTIFS(Grunnspill!$A:$A,Annex!E249)</x:f>
        <x:v>0</x:v>
      </x:c>
      <x:c r="O249" t="n">
        <x:f>COUNTIFS(Grunnspill!$A:$A,Annex!F249)</x:f>
        <x:v>0</x:v>
      </x:c>
      <x:c r="P249" t="n">
        <x:f>COUNTIFS(Grunnspill!$A:$A,Annex!G249)</x:f>
        <x:v>0</x:v>
      </x:c>
      <x:c r="Q249" t="n">
        <x:f>COUNTIFS(Grunnspill!$A:$A,Annex!H249)</x:f>
        <x:v>0</x:v>
      </x:c>
      <x:c r="R249" t="n">
        <x:f>COUNTIFS(Grunnspill!$A:$A,Annex!I249)</x:f>
        <x:v>0</x:v>
      </x:c>
    </x:row>
    <x:row r="250">
      <x:c r="A250">
        <x:v>247</x:v>
      </x:c>
      <x:c r="B250" s="1" t="s">
        <x:v>115</x:v>
      </x:c>
      <x:c r="C250" s="1" t="s">
        <x:v>116</x:v>
      </x:c>
      <x:c r="D250" s="1" t="s">
        <x:v>112</x:v>
      </x:c>
      <x:c r="E250" s="1" t="s">
        <x:v>121</x:v>
      </x:c>
      <x:c r="F250" s="1" t="s">
        <x:v>125</x:v>
      </x:c>
      <x:c r="G250" s="1" t="s">
        <x:v>114</x:v>
      </x:c>
      <x:c r="H250" s="1" t="s">
        <x:v>120</x:v>
      </x:c>
      <x:c r="I250" s="1" t="s">
        <x:v>118</x:v>
      </x:c>
      <x:c r="J250">
        <x:f t="shared" si="5"/>
        <x:v>0</x:v>
      </x:c>
      <x:c r="K250" t="n">
        <x:f>COUNTIFS(Grunnspill!$A:$A,Annex!B250)</x:f>
        <x:v>0</x:v>
      </x:c>
      <x:c r="L250" t="n">
        <x:f>COUNTIFS(Grunnspill!$A:$A,Annex!C250)</x:f>
        <x:v>0</x:v>
      </x:c>
      <x:c r="M250" t="n">
        <x:f>COUNTIFS(Grunnspill!$A:$A,Annex!D250)</x:f>
        <x:v>0</x:v>
      </x:c>
      <x:c r="N250" t="n">
        <x:f>COUNTIFS(Grunnspill!$A:$A,Annex!E250)</x:f>
        <x:v>0</x:v>
      </x:c>
      <x:c r="O250" t="n">
        <x:f>COUNTIFS(Grunnspill!$A:$A,Annex!F250)</x:f>
        <x:v>0</x:v>
      </x:c>
      <x:c r="P250" t="n">
        <x:f>COUNTIFS(Grunnspill!$A:$A,Annex!G250)</x:f>
        <x:v>0</x:v>
      </x:c>
      <x:c r="Q250" t="n">
        <x:f>COUNTIFS(Grunnspill!$A:$A,Annex!H250)</x:f>
        <x:v>0</x:v>
      </x:c>
      <x:c r="R250" t="n">
        <x:f>COUNTIFS(Grunnspill!$A:$A,Annex!I250)</x:f>
        <x:v>0</x:v>
      </x:c>
    </x:row>
    <x:row r="251">
      <x:c r="A251">
        <x:v>248</x:v>
      </x:c>
      <x:c r="B251" s="1" t="s">
        <x:v>115</x:v>
      </x:c>
      <x:c r="C251" s="1" t="s">
        <x:v>116</x:v>
      </x:c>
      <x:c r="D251" s="1" t="s">
        <x:v>114</x:v>
      </x:c>
      <x:c r="E251" s="1" t="s">
        <x:v>121</x:v>
      </x:c>
      <x:c r="F251" s="1" t="s">
        <x:v>125</x:v>
      </x:c>
      <x:c r="G251" s="1" t="s">
        <x:v>120</x:v>
      </x:c>
      <x:c r="H251" s="1" t="s">
        <x:v>117</x:v>
      </x:c>
      <x:c r="I251" s="1" t="s">
        <x:v>113</x:v>
      </x:c>
      <x:c r="J251">
        <x:f t="shared" si="5"/>
        <x:v>0</x:v>
      </x:c>
      <x:c r="K251" t="n">
        <x:f>COUNTIFS(Grunnspill!$A:$A,Annex!B251)</x:f>
        <x:v>0</x:v>
      </x:c>
      <x:c r="L251" t="n">
        <x:f>COUNTIFS(Grunnspill!$A:$A,Annex!C251)</x:f>
        <x:v>0</x:v>
      </x:c>
      <x:c r="M251" t="n">
        <x:f>COUNTIFS(Grunnspill!$A:$A,Annex!D251)</x:f>
        <x:v>0</x:v>
      </x:c>
      <x:c r="N251" t="n">
        <x:f>COUNTIFS(Grunnspill!$A:$A,Annex!E251)</x:f>
        <x:v>0</x:v>
      </x:c>
      <x:c r="O251" t="n">
        <x:f>COUNTIFS(Grunnspill!$A:$A,Annex!F251)</x:f>
        <x:v>0</x:v>
      </x:c>
      <x:c r="P251" t="n">
        <x:f>COUNTIFS(Grunnspill!$A:$A,Annex!G251)</x:f>
        <x:v>0</x:v>
      </x:c>
      <x:c r="Q251" t="n">
        <x:f>COUNTIFS(Grunnspill!$A:$A,Annex!H251)</x:f>
        <x:v>0</x:v>
      </x:c>
      <x:c r="R251" t="n">
        <x:f>COUNTIFS(Grunnspill!$A:$A,Annex!I251)</x:f>
        <x:v>0</x:v>
      </x:c>
    </x:row>
    <x:row r="252">
      <x:c r="A252">
        <x:v>249</x:v>
      </x:c>
      <x:c r="B252" s="1" t="s">
        <x:v>115</x:v>
      </x:c>
      <x:c r="C252" s="1" t="s">
        <x:v>116</x:v>
      </x:c>
      <x:c r="D252" s="1" t="s">
        <x:v>114</x:v>
      </x:c>
      <x:c r="E252" s="1" t="s">
        <x:v>121</x:v>
      </x:c>
      <x:c r="F252" s="1" t="s">
        <x:v>125</x:v>
      </x:c>
      <x:c r="G252" s="1" t="s">
        <x:v>120</x:v>
      </x:c>
      <x:c r="H252" s="1" t="s">
        <x:v>113</x:v>
      </x:c>
      <x:c r="I252" s="1" t="s">
        <x:v>118</x:v>
      </x:c>
      <x:c r="J252">
        <x:f t="shared" si="5"/>
        <x:v>0</x:v>
      </x:c>
      <x:c r="K252" t="n">
        <x:f>COUNTIFS(Grunnspill!$A:$A,Annex!B252)</x:f>
        <x:v>0</x:v>
      </x:c>
      <x:c r="L252" t="n">
        <x:f>COUNTIFS(Grunnspill!$A:$A,Annex!C252)</x:f>
        <x:v>0</x:v>
      </x:c>
      <x:c r="M252" t="n">
        <x:f>COUNTIFS(Grunnspill!$A:$A,Annex!D252)</x:f>
        <x:v>0</x:v>
      </x:c>
      <x:c r="N252" t="n">
        <x:f>COUNTIFS(Grunnspill!$A:$A,Annex!E252)</x:f>
        <x:v>0</x:v>
      </x:c>
      <x:c r="O252" t="n">
        <x:f>COUNTIFS(Grunnspill!$A:$A,Annex!F252)</x:f>
        <x:v>0</x:v>
      </x:c>
      <x:c r="P252" t="n">
        <x:f>COUNTIFS(Grunnspill!$A:$A,Annex!G252)</x:f>
        <x:v>0</x:v>
      </x:c>
      <x:c r="Q252" t="n">
        <x:f>COUNTIFS(Grunnspill!$A:$A,Annex!H252)</x:f>
        <x:v>0</x:v>
      </x:c>
      <x:c r="R252" t="n">
        <x:f>COUNTIFS(Grunnspill!$A:$A,Annex!I252)</x:f>
        <x:v>0</x:v>
      </x:c>
    </x:row>
    <x:row r="253">
      <x:c r="A253">
        <x:v>250</x:v>
      </x:c>
      <x:c r="B253" s="1" t="s">
        <x:v>115</x:v>
      </x:c>
      <x:c r="C253" s="1" t="s">
        <x:v>116</x:v>
      </x:c>
      <x:c r="D253" s="1" t="s">
        <x:v>112</x:v>
      </x:c>
      <x:c r="E253" s="1" t="s">
        <x:v>121</x:v>
      </x:c>
      <x:c r="F253" s="1" t="s">
        <x:v>125</x:v>
      </x:c>
      <x:c r="G253" s="1" t="s">
        <x:v>114</x:v>
      </x:c>
      <x:c r="H253" s="1" t="s">
        <x:v>120</x:v>
      </x:c>
      <x:c r="I253" s="1" t="s">
        <x:v>113</x:v>
      </x:c>
      <x:c r="J253">
        <x:f t="shared" si="5"/>
        <x:v>0</x:v>
      </x:c>
      <x:c r="K253" t="n">
        <x:f>COUNTIFS(Grunnspill!$A:$A,Annex!B253)</x:f>
        <x:v>0</x:v>
      </x:c>
      <x:c r="L253" t="n">
        <x:f>COUNTIFS(Grunnspill!$A:$A,Annex!C253)</x:f>
        <x:v>0</x:v>
      </x:c>
      <x:c r="M253" t="n">
        <x:f>COUNTIFS(Grunnspill!$A:$A,Annex!D253)</x:f>
        <x:v>0</x:v>
      </x:c>
      <x:c r="N253" t="n">
        <x:f>COUNTIFS(Grunnspill!$A:$A,Annex!E253)</x:f>
        <x:v>0</x:v>
      </x:c>
      <x:c r="O253" t="n">
        <x:f>COUNTIFS(Grunnspill!$A:$A,Annex!F253)</x:f>
        <x:v>0</x:v>
      </x:c>
      <x:c r="P253" t="n">
        <x:f>COUNTIFS(Grunnspill!$A:$A,Annex!G253)</x:f>
        <x:v>0</x:v>
      </x:c>
      <x:c r="Q253" t="n">
        <x:f>COUNTIFS(Grunnspill!$A:$A,Annex!H253)</x:f>
        <x:v>0</x:v>
      </x:c>
      <x:c r="R253" t="n">
        <x:f>COUNTIFS(Grunnspill!$A:$A,Annex!I253)</x:f>
        <x:v>0</x:v>
      </x:c>
    </x:row>
    <x:row r="254">
      <x:c r="A254">
        <x:v>251</x:v>
      </x:c>
      <x:c r="B254" s="1" t="s">
        <x:v>111</x:v>
      </x:c>
      <x:c r="C254" s="1" t="s">
        <x:v>112</x:v>
      </x:c>
      <x:c r="D254" s="1" t="s">
        <x:v>113</x:v>
      </x:c>
      <x:c r="E254" s="1" t="s">
        <x:v>121</x:v>
      </x:c>
      <x:c r="F254" s="1" t="s">
        <x:v>125</x:v>
      </x:c>
      <x:c r="G254" s="1" t="s">
        <x:v>120</x:v>
      </x:c>
      <x:c r="H254" s="1" t="s">
        <x:v>117</x:v>
      </x:c>
      <x:c r="I254" s="1" t="s">
        <x:v>118</x:v>
      </x:c>
      <x:c r="J254">
        <x:f t="shared" si="5"/>
        <x:v>0</x:v>
      </x:c>
      <x:c r="K254" t="n">
        <x:f>COUNTIFS(Grunnspill!$A:$A,Annex!B254)</x:f>
        <x:v>0</x:v>
      </x:c>
      <x:c r="L254" t="n">
        <x:f>COUNTIFS(Grunnspill!$A:$A,Annex!C254)</x:f>
        <x:v>0</x:v>
      </x:c>
      <x:c r="M254" t="n">
        <x:f>COUNTIFS(Grunnspill!$A:$A,Annex!D254)</x:f>
        <x:v>0</x:v>
      </x:c>
      <x:c r="N254" t="n">
        <x:f>COUNTIFS(Grunnspill!$A:$A,Annex!E254)</x:f>
        <x:v>0</x:v>
      </x:c>
      <x:c r="O254" t="n">
        <x:f>COUNTIFS(Grunnspill!$A:$A,Annex!F254)</x:f>
        <x:v>0</x:v>
      </x:c>
      <x:c r="P254" t="n">
        <x:f>COUNTIFS(Grunnspill!$A:$A,Annex!G254)</x:f>
        <x:v>0</x:v>
      </x:c>
      <x:c r="Q254" t="n">
        <x:f>COUNTIFS(Grunnspill!$A:$A,Annex!H254)</x:f>
        <x:v>0</x:v>
      </x:c>
      <x:c r="R254" t="n">
        <x:f>COUNTIFS(Grunnspill!$A:$A,Annex!I254)</x:f>
        <x:v>0</x:v>
      </x:c>
    </x:row>
    <x:row r="255">
      <x:c r="A255">
        <x:v>252</x:v>
      </x:c>
      <x:c r="B255" s="1" t="s">
        <x:v>115</x:v>
      </x:c>
      <x:c r="C255" s="1" t="s">
        <x:v>112</x:v>
      </x:c>
      <x:c r="D255" s="1" t="s">
        <x:v>111</x:v>
      </x:c>
      <x:c r="E255" s="1" t="s">
        <x:v>121</x:v>
      </x:c>
      <x:c r="F255" s="1" t="s">
        <x:v>125</x:v>
      </x:c>
      <x:c r="G255" s="1" t="s">
        <x:v>120</x:v>
      </x:c>
      <x:c r="H255" s="1" t="s">
        <x:v>117</x:v>
      </x:c>
      <x:c r="I255" s="1" t="s">
        <x:v>118</x:v>
      </x:c>
      <x:c r="J255">
        <x:f t="shared" si="5"/>
        <x:v>0</x:v>
      </x:c>
      <x:c r="K255" t="n">
        <x:f>COUNTIFS(Grunnspill!$A:$A,Annex!B255)</x:f>
        <x:v>0</x:v>
      </x:c>
      <x:c r="L255" t="n">
        <x:f>COUNTIFS(Grunnspill!$A:$A,Annex!C255)</x:f>
        <x:v>0</x:v>
      </x:c>
      <x:c r="M255" t="n">
        <x:f>COUNTIFS(Grunnspill!$A:$A,Annex!D255)</x:f>
        <x:v>0</x:v>
      </x:c>
      <x:c r="N255" t="n">
        <x:f>COUNTIFS(Grunnspill!$A:$A,Annex!E255)</x:f>
        <x:v>0</x:v>
      </x:c>
      <x:c r="O255" t="n">
        <x:f>COUNTIFS(Grunnspill!$A:$A,Annex!F255)</x:f>
        <x:v>0</x:v>
      </x:c>
      <x:c r="P255" t="n">
        <x:f>COUNTIFS(Grunnspill!$A:$A,Annex!G255)</x:f>
        <x:v>0</x:v>
      </x:c>
      <x:c r="Q255" t="n">
        <x:f>COUNTIFS(Grunnspill!$A:$A,Annex!H255)</x:f>
        <x:v>0</x:v>
      </x:c>
      <x:c r="R255" t="n">
        <x:f>COUNTIFS(Grunnspill!$A:$A,Annex!I255)</x:f>
        <x:v>0</x:v>
      </x:c>
    </x:row>
    <x:row r="256">
      <x:c r="A256">
        <x:v>253</x:v>
      </x:c>
      <x:c r="B256" s="1" t="s">
        <x:v>115</x:v>
      </x:c>
      <x:c r="C256" s="1" t="s">
        <x:v>111</x:v>
      </x:c>
      <x:c r="D256" s="1" t="s">
        <x:v>113</x:v>
      </x:c>
      <x:c r="E256" s="1" t="s">
        <x:v>121</x:v>
      </x:c>
      <x:c r="F256" s="1" t="s">
        <x:v>125</x:v>
      </x:c>
      <x:c r="G256" s="1" t="s">
        <x:v>120</x:v>
      </x:c>
      <x:c r="H256" s="1" t="s">
        <x:v>117</x:v>
      </x:c>
      <x:c r="I256" s="1" t="s">
        <x:v>118</x:v>
      </x:c>
      <x:c r="J256">
        <x:f t="shared" si="5"/>
        <x:v>0</x:v>
      </x:c>
      <x:c r="K256" t="n">
        <x:f>COUNTIFS(Grunnspill!$A:$A,Annex!B256)</x:f>
        <x:v>0</x:v>
      </x:c>
      <x:c r="L256" t="n">
        <x:f>COUNTIFS(Grunnspill!$A:$A,Annex!C256)</x:f>
        <x:v>0</x:v>
      </x:c>
      <x:c r="M256" t="n">
        <x:f>COUNTIFS(Grunnspill!$A:$A,Annex!D256)</x:f>
        <x:v>0</x:v>
      </x:c>
      <x:c r="N256" t="n">
        <x:f>COUNTIFS(Grunnspill!$A:$A,Annex!E256)</x:f>
        <x:v>0</x:v>
      </x:c>
      <x:c r="O256" t="n">
        <x:f>COUNTIFS(Grunnspill!$A:$A,Annex!F256)</x:f>
        <x:v>0</x:v>
      </x:c>
      <x:c r="P256" t="n">
        <x:f>COUNTIFS(Grunnspill!$A:$A,Annex!G256)</x:f>
        <x:v>0</x:v>
      </x:c>
      <x:c r="Q256" t="n">
        <x:f>COUNTIFS(Grunnspill!$A:$A,Annex!H256)</x:f>
        <x:v>0</x:v>
      </x:c>
      <x:c r="R256" t="n">
        <x:f>COUNTIFS(Grunnspill!$A:$A,Annex!I256)</x:f>
        <x:v>0</x:v>
      </x:c>
    </x:row>
    <x:row r="257">
      <x:c r="A257">
        <x:v>254</x:v>
      </x:c>
      <x:c r="B257" s="1" t="s">
        <x:v>115</x:v>
      </x:c>
      <x:c r="C257" s="1" t="s">
        <x:v>112</x:v>
      </x:c>
      <x:c r="D257" s="1" t="s">
        <x:v>111</x:v>
      </x:c>
      <x:c r="E257" s="1" t="s">
        <x:v>121</x:v>
      </x:c>
      <x:c r="F257" s="1" t="s">
        <x:v>125</x:v>
      </x:c>
      <x:c r="G257" s="1" t="s">
        <x:v>120</x:v>
      </x:c>
      <x:c r="H257" s="1" t="s">
        <x:v>117</x:v>
      </x:c>
      <x:c r="I257" s="1" t="s">
        <x:v>113</x:v>
      </x:c>
      <x:c r="J257">
        <x:f t="shared" si="5"/>
        <x:v>0</x:v>
      </x:c>
      <x:c r="K257" t="n">
        <x:f>COUNTIFS(Grunnspill!$A:$A,Annex!B257)</x:f>
        <x:v>0</x:v>
      </x:c>
      <x:c r="L257" t="n">
        <x:f>COUNTIFS(Grunnspill!$A:$A,Annex!C257)</x:f>
        <x:v>0</x:v>
      </x:c>
      <x:c r="M257" t="n">
        <x:f>COUNTIFS(Grunnspill!$A:$A,Annex!D257)</x:f>
        <x:v>0</x:v>
      </x:c>
      <x:c r="N257" t="n">
        <x:f>COUNTIFS(Grunnspill!$A:$A,Annex!E257)</x:f>
        <x:v>0</x:v>
      </x:c>
      <x:c r="O257" t="n">
        <x:f>COUNTIFS(Grunnspill!$A:$A,Annex!F257)</x:f>
        <x:v>0</x:v>
      </x:c>
      <x:c r="P257" t="n">
        <x:f>COUNTIFS(Grunnspill!$A:$A,Annex!G257)</x:f>
        <x:v>0</x:v>
      </x:c>
      <x:c r="Q257" t="n">
        <x:f>COUNTIFS(Grunnspill!$A:$A,Annex!H257)</x:f>
        <x:v>0</x:v>
      </x:c>
      <x:c r="R257" t="n">
        <x:f>COUNTIFS(Grunnspill!$A:$A,Annex!I257)</x:f>
        <x:v>0</x:v>
      </x:c>
    </x:row>
    <x:row r="258">
      <x:c r="A258">
        <x:v>255</x:v>
      </x:c>
      <x:c r="B258" s="1" t="s">
        <x:v>115</x:v>
      </x:c>
      <x:c r="C258" s="1" t="s">
        <x:v>112</x:v>
      </x:c>
      <x:c r="D258" s="1" t="s">
        <x:v>111</x:v>
      </x:c>
      <x:c r="E258" s="1" t="s">
        <x:v>121</x:v>
      </x:c>
      <x:c r="F258" s="1" t="s">
        <x:v>125</x:v>
      </x:c>
      <x:c r="G258" s="1" t="s">
        <x:v>120</x:v>
      </x:c>
      <x:c r="H258" s="1" t="s">
        <x:v>113</x:v>
      </x:c>
      <x:c r="I258" s="1" t="s">
        <x:v>118</x:v>
      </x:c>
      <x:c r="J258">
        <x:f t="shared" si="5"/>
        <x:v>0</x:v>
      </x:c>
      <x:c r="K258" t="n">
        <x:f>COUNTIFS(Grunnspill!$A:$A,Annex!B258)</x:f>
        <x:v>0</x:v>
      </x:c>
      <x:c r="L258" t="n">
        <x:f>COUNTIFS(Grunnspill!$A:$A,Annex!C258)</x:f>
        <x:v>0</x:v>
      </x:c>
      <x:c r="M258" t="n">
        <x:f>COUNTIFS(Grunnspill!$A:$A,Annex!D258)</x:f>
        <x:v>0</x:v>
      </x:c>
      <x:c r="N258" t="n">
        <x:f>COUNTIFS(Grunnspill!$A:$A,Annex!E258)</x:f>
        <x:v>0</x:v>
      </x:c>
      <x:c r="O258" t="n">
        <x:f>COUNTIFS(Grunnspill!$A:$A,Annex!F258)</x:f>
        <x:v>0</x:v>
      </x:c>
      <x:c r="P258" t="n">
        <x:f>COUNTIFS(Grunnspill!$A:$A,Annex!G258)</x:f>
        <x:v>0</x:v>
      </x:c>
      <x:c r="Q258" t="n">
        <x:f>COUNTIFS(Grunnspill!$A:$A,Annex!H258)</x:f>
        <x:v>0</x:v>
      </x:c>
      <x:c r="R258" t="n">
        <x:f>COUNTIFS(Grunnspill!$A:$A,Annex!I258)</x:f>
        <x:v>0</x:v>
      </x:c>
    </x:row>
    <x:row r="259">
      <x:c r="A259">
        <x:v>256</x:v>
      </x:c>
      <x:c r="B259" s="1" t="s">
        <x:v>111</x:v>
      </x:c>
      <x:c r="C259" s="1" t="s">
        <x:v>116</x:v>
      </x:c>
      <x:c r="D259" s="1" t="s">
        <x:v>112</x:v>
      </x:c>
      <x:c r="E259" s="1" t="s">
        <x:v>121</x:v>
      </x:c>
      <x:c r="F259" s="1" t="s">
        <x:v>125</x:v>
      </x:c>
      <x:c r="G259" s="1" t="s">
        <x:v>120</x:v>
      </x:c>
      <x:c r="H259" s="1" t="s">
        <x:v>117</x:v>
      </x:c>
      <x:c r="I259" s="1" t="s">
        <x:v>118</x:v>
      </x:c>
      <x:c r="J259">
        <x:f t="shared" si="5"/>
        <x:v>0</x:v>
      </x:c>
      <x:c r="K259" t="n">
        <x:f>COUNTIFS(Grunnspill!$A:$A,Annex!B259)</x:f>
        <x:v>0</x:v>
      </x:c>
      <x:c r="L259" t="n">
        <x:f>COUNTIFS(Grunnspill!$A:$A,Annex!C259)</x:f>
        <x:v>0</x:v>
      </x:c>
      <x:c r="M259" t="n">
        <x:f>COUNTIFS(Grunnspill!$A:$A,Annex!D259)</x:f>
        <x:v>0</x:v>
      </x:c>
      <x:c r="N259" t="n">
        <x:f>COUNTIFS(Grunnspill!$A:$A,Annex!E259)</x:f>
        <x:v>0</x:v>
      </x:c>
      <x:c r="O259" t="n">
        <x:f>COUNTIFS(Grunnspill!$A:$A,Annex!F259)</x:f>
        <x:v>0</x:v>
      </x:c>
      <x:c r="P259" t="n">
        <x:f>COUNTIFS(Grunnspill!$A:$A,Annex!G259)</x:f>
        <x:v>0</x:v>
      </x:c>
      <x:c r="Q259" t="n">
        <x:f>COUNTIFS(Grunnspill!$A:$A,Annex!H259)</x:f>
        <x:v>0</x:v>
      </x:c>
      <x:c r="R259" t="n">
        <x:f>COUNTIFS(Grunnspill!$A:$A,Annex!I259)</x:f>
        <x:v>0</x:v>
      </x:c>
    </x:row>
    <x:row r="260">
      <x:c r="A260">
        <x:v>257</x:v>
      </x:c>
      <x:c r="B260" s="1" t="s">
        <x:v>111</x:v>
      </x:c>
      <x:c r="C260" s="1" t="s">
        <x:v>116</x:v>
      </x:c>
      <x:c r="D260" s="1" t="s">
        <x:v>113</x:v>
      </x:c>
      <x:c r="E260" s="1" t="s">
        <x:v>121</x:v>
      </x:c>
      <x:c r="F260" s="1" t="s">
        <x:v>125</x:v>
      </x:c>
      <x:c r="G260" s="1" t="s">
        <x:v>120</x:v>
      </x:c>
      <x:c r="H260" s="1" t="s">
        <x:v>117</x:v>
      </x:c>
      <x:c r="I260" s="1" t="s">
        <x:v>118</x:v>
      </x:c>
      <x:c r="J260">
        <x:f t="shared" si="5"/>
        <x:v>0</x:v>
      </x:c>
      <x:c r="K260" t="n">
        <x:f>COUNTIFS(Grunnspill!$A:$A,Annex!B260)</x:f>
        <x:v>0</x:v>
      </x:c>
      <x:c r="L260" t="n">
        <x:f>COUNTIFS(Grunnspill!$A:$A,Annex!C260)</x:f>
        <x:v>0</x:v>
      </x:c>
      <x:c r="M260" t="n">
        <x:f>COUNTIFS(Grunnspill!$A:$A,Annex!D260)</x:f>
        <x:v>0</x:v>
      </x:c>
      <x:c r="N260" t="n">
        <x:f>COUNTIFS(Grunnspill!$A:$A,Annex!E260)</x:f>
        <x:v>0</x:v>
      </x:c>
      <x:c r="O260" t="n">
        <x:f>COUNTIFS(Grunnspill!$A:$A,Annex!F260)</x:f>
        <x:v>0</x:v>
      </x:c>
      <x:c r="P260" t="n">
        <x:f>COUNTIFS(Grunnspill!$A:$A,Annex!G260)</x:f>
        <x:v>0</x:v>
      </x:c>
      <x:c r="Q260" t="n">
        <x:f>COUNTIFS(Grunnspill!$A:$A,Annex!H260)</x:f>
        <x:v>0</x:v>
      </x:c>
      <x:c r="R260" t="n">
        <x:f>COUNTIFS(Grunnspill!$A:$A,Annex!I260)</x:f>
        <x:v>0</x:v>
      </x:c>
    </x:row>
    <x:row r="261">
      <x:c r="A261">
        <x:v>258</x:v>
      </x:c>
      <x:c r="B261" s="1" t="s">
        <x:v>111</x:v>
      </x:c>
      <x:c r="C261" s="1" t="s">
        <x:v>116</x:v>
      </x:c>
      <x:c r="D261" s="1" t="s">
        <x:v>112</x:v>
      </x:c>
      <x:c r="E261" s="1" t="s">
        <x:v>121</x:v>
      </x:c>
      <x:c r="F261" s="1" t="s">
        <x:v>125</x:v>
      </x:c>
      <x:c r="G261" s="1" t="s">
        <x:v>120</x:v>
      </x:c>
      <x:c r="H261" s="1" t="s">
        <x:v>117</x:v>
      </x:c>
      <x:c r="I261" s="1" t="s">
        <x:v>113</x:v>
      </x:c>
      <x:c r="J261">
        <x:f t="shared" si="5"/>
        <x:v>0</x:v>
      </x:c>
      <x:c r="K261" t="n">
        <x:f>COUNTIFS(Grunnspill!$A:$A,Annex!B261)</x:f>
        <x:v>0</x:v>
      </x:c>
      <x:c r="L261" t="n">
        <x:f>COUNTIFS(Grunnspill!$A:$A,Annex!C261)</x:f>
        <x:v>0</x:v>
      </x:c>
      <x:c r="M261" t="n">
        <x:f>COUNTIFS(Grunnspill!$A:$A,Annex!D261)</x:f>
        <x:v>0</x:v>
      </x:c>
      <x:c r="N261" t="n">
        <x:f>COUNTIFS(Grunnspill!$A:$A,Annex!E261)</x:f>
        <x:v>0</x:v>
      </x:c>
      <x:c r="O261" t="n">
        <x:f>COUNTIFS(Grunnspill!$A:$A,Annex!F261)</x:f>
        <x:v>0</x:v>
      </x:c>
      <x:c r="P261" t="n">
        <x:f>COUNTIFS(Grunnspill!$A:$A,Annex!G261)</x:f>
        <x:v>0</x:v>
      </x:c>
      <x:c r="Q261" t="n">
        <x:f>COUNTIFS(Grunnspill!$A:$A,Annex!H261)</x:f>
        <x:v>0</x:v>
      </x:c>
      <x:c r="R261" t="n">
        <x:f>COUNTIFS(Grunnspill!$A:$A,Annex!I261)</x:f>
        <x:v>0</x:v>
      </x:c>
    </x:row>
    <x:row r="262">
      <x:c r="A262">
        <x:v>259</x:v>
      </x:c>
      <x:c r="B262" s="1" t="s">
        <x:v>111</x:v>
      </x:c>
      <x:c r="C262" s="1" t="s">
        <x:v>116</x:v>
      </x:c>
      <x:c r="D262" s="1" t="s">
        <x:v>112</x:v>
      </x:c>
      <x:c r="E262" s="1" t="s">
        <x:v>121</x:v>
      </x:c>
      <x:c r="F262" s="1" t="s">
        <x:v>125</x:v>
      </x:c>
      <x:c r="G262" s="1" t="s">
        <x:v>120</x:v>
      </x:c>
      <x:c r="H262" s="1" t="s">
        <x:v>113</x:v>
      </x:c>
      <x:c r="I262" s="1" t="s">
        <x:v>118</x:v>
      </x:c>
      <x:c r="J262">
        <x:f t="shared" si="5"/>
        <x:v>0</x:v>
      </x:c>
      <x:c r="K262" t="n">
        <x:f>COUNTIFS(Grunnspill!$A:$A,Annex!B262)</x:f>
        <x:v>0</x:v>
      </x:c>
      <x:c r="L262" t="n">
        <x:f>COUNTIFS(Grunnspill!$A:$A,Annex!C262)</x:f>
        <x:v>0</x:v>
      </x:c>
      <x:c r="M262" t="n">
        <x:f>COUNTIFS(Grunnspill!$A:$A,Annex!D262)</x:f>
        <x:v>0</x:v>
      </x:c>
      <x:c r="N262" t="n">
        <x:f>COUNTIFS(Grunnspill!$A:$A,Annex!E262)</x:f>
        <x:v>0</x:v>
      </x:c>
      <x:c r="O262" t="n">
        <x:f>COUNTIFS(Grunnspill!$A:$A,Annex!F262)</x:f>
        <x:v>0</x:v>
      </x:c>
      <x:c r="P262" t="n">
        <x:f>COUNTIFS(Grunnspill!$A:$A,Annex!G262)</x:f>
        <x:v>0</x:v>
      </x:c>
      <x:c r="Q262" t="n">
        <x:f>COUNTIFS(Grunnspill!$A:$A,Annex!H262)</x:f>
        <x:v>0</x:v>
      </x:c>
      <x:c r="R262" t="n">
        <x:f>COUNTIFS(Grunnspill!$A:$A,Annex!I262)</x:f>
        <x:v>0</x:v>
      </x:c>
    </x:row>
    <x:row r="263">
      <x:c r="A263">
        <x:v>260</x:v>
      </x:c>
      <x:c r="B263" s="1" t="s">
        <x:v>115</x:v>
      </x:c>
      <x:c r="C263" s="1" t="s">
        <x:v>116</x:v>
      </x:c>
      <x:c r="D263" s="1" t="s">
        <x:v>111</x:v>
      </x:c>
      <x:c r="E263" s="1" t="s">
        <x:v>121</x:v>
      </x:c>
      <x:c r="F263" s="1" t="s">
        <x:v>125</x:v>
      </x:c>
      <x:c r="G263" s="1" t="s">
        <x:v>120</x:v>
      </x:c>
      <x:c r="H263" s="1" t="s">
        <x:v>117</x:v>
      </x:c>
      <x:c r="I263" s="1" t="s">
        <x:v>118</x:v>
      </x:c>
      <x:c r="J263">
        <x:f t="shared" si="5"/>
        <x:v>0</x:v>
      </x:c>
      <x:c r="K263" t="n">
        <x:f>COUNTIFS(Grunnspill!$A:$A,Annex!B263)</x:f>
        <x:v>0</x:v>
      </x:c>
      <x:c r="L263" t="n">
        <x:f>COUNTIFS(Grunnspill!$A:$A,Annex!C263)</x:f>
        <x:v>0</x:v>
      </x:c>
      <x:c r="M263" t="n">
        <x:f>COUNTIFS(Grunnspill!$A:$A,Annex!D263)</x:f>
        <x:v>0</x:v>
      </x:c>
      <x:c r="N263" t="n">
        <x:f>COUNTIFS(Grunnspill!$A:$A,Annex!E263)</x:f>
        <x:v>0</x:v>
      </x:c>
      <x:c r="O263" t="n">
        <x:f>COUNTIFS(Grunnspill!$A:$A,Annex!F263)</x:f>
        <x:v>0</x:v>
      </x:c>
      <x:c r="P263" t="n">
        <x:f>COUNTIFS(Grunnspill!$A:$A,Annex!G263)</x:f>
        <x:v>0</x:v>
      </x:c>
      <x:c r="Q263" t="n">
        <x:f>COUNTIFS(Grunnspill!$A:$A,Annex!H263)</x:f>
        <x:v>0</x:v>
      </x:c>
      <x:c r="R263" t="n">
        <x:f>COUNTIFS(Grunnspill!$A:$A,Annex!I263)</x:f>
        <x:v>0</x:v>
      </x:c>
    </x:row>
    <x:row r="264">
      <x:c r="A264">
        <x:v>261</x:v>
      </x:c>
      <x:c r="B264" s="1" t="s">
        <x:v>115</x:v>
      </x:c>
      <x:c r="C264" s="1" t="s">
        <x:v>116</x:v>
      </x:c>
      <x:c r="D264" s="1" t="s">
        <x:v>112</x:v>
      </x:c>
      <x:c r="E264" s="1" t="s">
        <x:v>121</x:v>
      </x:c>
      <x:c r="F264" s="1" t="s">
        <x:v>125</x:v>
      </x:c>
      <x:c r="G264" s="1" t="s">
        <x:v>120</x:v>
      </x:c>
      <x:c r="H264" s="1" t="s">
        <x:v>117</x:v>
      </x:c>
      <x:c r="I264" s="1" t="s">
        <x:v>111</x:v>
      </x:c>
      <x:c r="J264">
        <x:f t="shared" si="5"/>
        <x:v>0</x:v>
      </x:c>
      <x:c r="K264" t="n">
        <x:f>COUNTIFS(Grunnspill!$A:$A,Annex!B264)</x:f>
        <x:v>0</x:v>
      </x:c>
      <x:c r="L264" t="n">
        <x:f>COUNTIFS(Grunnspill!$A:$A,Annex!C264)</x:f>
        <x:v>0</x:v>
      </x:c>
      <x:c r="M264" t="n">
        <x:f>COUNTIFS(Grunnspill!$A:$A,Annex!D264)</x:f>
        <x:v>0</x:v>
      </x:c>
      <x:c r="N264" t="n">
        <x:f>COUNTIFS(Grunnspill!$A:$A,Annex!E264)</x:f>
        <x:v>0</x:v>
      </x:c>
      <x:c r="O264" t="n">
        <x:f>COUNTIFS(Grunnspill!$A:$A,Annex!F264)</x:f>
        <x:v>0</x:v>
      </x:c>
      <x:c r="P264" t="n">
        <x:f>COUNTIFS(Grunnspill!$A:$A,Annex!G264)</x:f>
        <x:v>0</x:v>
      </x:c>
      <x:c r="Q264" t="n">
        <x:f>COUNTIFS(Grunnspill!$A:$A,Annex!H264)</x:f>
        <x:v>0</x:v>
      </x:c>
      <x:c r="R264" t="n">
        <x:f>COUNTIFS(Grunnspill!$A:$A,Annex!I264)</x:f>
        <x:v>0</x:v>
      </x:c>
    </x:row>
    <x:row r="265">
      <x:c r="A265">
        <x:v>262</x:v>
      </x:c>
      <x:c r="B265" s="1" t="s">
        <x:v>115</x:v>
      </x:c>
      <x:c r="C265" s="1" t="s">
        <x:v>116</x:v>
      </x:c>
      <x:c r="D265" s="1" t="s">
        <x:v>112</x:v>
      </x:c>
      <x:c r="E265" s="1" t="s">
        <x:v>121</x:v>
      </x:c>
      <x:c r="F265" s="1" t="s">
        <x:v>125</x:v>
      </x:c>
      <x:c r="G265" s="1" t="s">
        <x:v>120</x:v>
      </x:c>
      <x:c r="H265" s="1" t="s">
        <x:v>111</x:v>
      </x:c>
      <x:c r="I265" s="1" t="s">
        <x:v>118</x:v>
      </x:c>
      <x:c r="J265">
        <x:f t="shared" si="5"/>
        <x:v>0</x:v>
      </x:c>
      <x:c r="K265" t="n">
        <x:f>COUNTIFS(Grunnspill!$A:$A,Annex!B265)</x:f>
        <x:v>0</x:v>
      </x:c>
      <x:c r="L265" t="n">
        <x:f>COUNTIFS(Grunnspill!$A:$A,Annex!C265)</x:f>
        <x:v>0</x:v>
      </x:c>
      <x:c r="M265" t="n">
        <x:f>COUNTIFS(Grunnspill!$A:$A,Annex!D265)</x:f>
        <x:v>0</x:v>
      </x:c>
      <x:c r="N265" t="n">
        <x:f>COUNTIFS(Grunnspill!$A:$A,Annex!E265)</x:f>
        <x:v>0</x:v>
      </x:c>
      <x:c r="O265" t="n">
        <x:f>COUNTIFS(Grunnspill!$A:$A,Annex!F265)</x:f>
        <x:v>0</x:v>
      </x:c>
      <x:c r="P265" t="n">
        <x:f>COUNTIFS(Grunnspill!$A:$A,Annex!G265)</x:f>
        <x:v>0</x:v>
      </x:c>
      <x:c r="Q265" t="n">
        <x:f>COUNTIFS(Grunnspill!$A:$A,Annex!H265)</x:f>
        <x:v>0</x:v>
      </x:c>
      <x:c r="R265" t="n">
        <x:f>COUNTIFS(Grunnspill!$A:$A,Annex!I265)</x:f>
        <x:v>0</x:v>
      </x:c>
    </x:row>
    <x:row r="266">
      <x:c r="A266">
        <x:v>263</x:v>
      </x:c>
      <x:c r="B266" s="1" t="s">
        <x:v>115</x:v>
      </x:c>
      <x:c r="C266" s="1" t="s">
        <x:v>116</x:v>
      </x:c>
      <x:c r="D266" s="1" t="s">
        <x:v>111</x:v>
      </x:c>
      <x:c r="E266" s="1" t="s">
        <x:v>121</x:v>
      </x:c>
      <x:c r="F266" s="1" t="s">
        <x:v>125</x:v>
      </x:c>
      <x:c r="G266" s="1" t="s">
        <x:v>120</x:v>
      </x:c>
      <x:c r="H266" s="1" t="s">
        <x:v>117</x:v>
      </x:c>
      <x:c r="I266" s="1" t="s">
        <x:v>113</x:v>
      </x:c>
      <x:c r="J266">
        <x:f t="shared" si="5"/>
        <x:v>0</x:v>
      </x:c>
      <x:c r="K266" t="n">
        <x:f>COUNTIFS(Grunnspill!$A:$A,Annex!B266)</x:f>
        <x:v>0</x:v>
      </x:c>
      <x:c r="L266" t="n">
        <x:f>COUNTIFS(Grunnspill!$A:$A,Annex!C266)</x:f>
        <x:v>0</x:v>
      </x:c>
      <x:c r="M266" t="n">
        <x:f>COUNTIFS(Grunnspill!$A:$A,Annex!D266)</x:f>
        <x:v>0</x:v>
      </x:c>
      <x:c r="N266" t="n">
        <x:f>COUNTIFS(Grunnspill!$A:$A,Annex!E266)</x:f>
        <x:v>0</x:v>
      </x:c>
      <x:c r="O266" t="n">
        <x:f>COUNTIFS(Grunnspill!$A:$A,Annex!F266)</x:f>
        <x:v>0</x:v>
      </x:c>
      <x:c r="P266" t="n">
        <x:f>COUNTIFS(Grunnspill!$A:$A,Annex!G266)</x:f>
        <x:v>0</x:v>
      </x:c>
      <x:c r="Q266" t="n">
        <x:f>COUNTIFS(Grunnspill!$A:$A,Annex!H266)</x:f>
        <x:v>0</x:v>
      </x:c>
      <x:c r="R266" t="n">
        <x:f>COUNTIFS(Grunnspill!$A:$A,Annex!I266)</x:f>
        <x:v>0</x:v>
      </x:c>
    </x:row>
    <x:row r="267">
      <x:c r="A267">
        <x:v>264</x:v>
      </x:c>
      <x:c r="B267" s="1" t="s">
        <x:v>115</x:v>
      </x:c>
      <x:c r="C267" s="1" t="s">
        <x:v>116</x:v>
      </x:c>
      <x:c r="D267" s="1" t="s">
        <x:v>111</x:v>
      </x:c>
      <x:c r="E267" s="1" t="s">
        <x:v>121</x:v>
      </x:c>
      <x:c r="F267" s="1" t="s">
        <x:v>125</x:v>
      </x:c>
      <x:c r="G267" s="1" t="s">
        <x:v>120</x:v>
      </x:c>
      <x:c r="H267" s="1" t="s">
        <x:v>113</x:v>
      </x:c>
      <x:c r="I267" s="1" t="s">
        <x:v>118</x:v>
      </x:c>
      <x:c r="J267">
        <x:f t="shared" si="5"/>
        <x:v>0</x:v>
      </x:c>
      <x:c r="K267" t="n">
        <x:f>COUNTIFS(Grunnspill!$A:$A,Annex!B267)</x:f>
        <x:v>0</x:v>
      </x:c>
      <x:c r="L267" t="n">
        <x:f>COUNTIFS(Grunnspill!$A:$A,Annex!C267)</x:f>
        <x:v>0</x:v>
      </x:c>
      <x:c r="M267" t="n">
        <x:f>COUNTIFS(Grunnspill!$A:$A,Annex!D267)</x:f>
        <x:v>0</x:v>
      </x:c>
      <x:c r="N267" t="n">
        <x:f>COUNTIFS(Grunnspill!$A:$A,Annex!E267)</x:f>
        <x:v>0</x:v>
      </x:c>
      <x:c r="O267" t="n">
        <x:f>COUNTIFS(Grunnspill!$A:$A,Annex!F267)</x:f>
        <x:v>0</x:v>
      </x:c>
      <x:c r="P267" t="n">
        <x:f>COUNTIFS(Grunnspill!$A:$A,Annex!G267)</x:f>
        <x:v>0</x:v>
      </x:c>
      <x:c r="Q267" t="n">
        <x:f>COUNTIFS(Grunnspill!$A:$A,Annex!H267)</x:f>
        <x:v>0</x:v>
      </x:c>
      <x:c r="R267" t="n">
        <x:f>COUNTIFS(Grunnspill!$A:$A,Annex!I267)</x:f>
        <x:v>0</x:v>
      </x:c>
    </x:row>
    <x:row r="268">
      <x:c r="A268">
        <x:v>265</x:v>
      </x:c>
      <x:c r="B268" s="1" t="s">
        <x:v>115</x:v>
      </x:c>
      <x:c r="C268" s="1" t="s">
        <x:v>116</x:v>
      </x:c>
      <x:c r="D268" s="1" t="s">
        <x:v>112</x:v>
      </x:c>
      <x:c r="E268" s="1" t="s">
        <x:v>121</x:v>
      </x:c>
      <x:c r="F268" s="1" t="s">
        <x:v>125</x:v>
      </x:c>
      <x:c r="G268" s="1" t="s">
        <x:v>120</x:v>
      </x:c>
      <x:c r="H268" s="1" t="s">
        <x:v>111</x:v>
      </x:c>
      <x:c r="I268" s="1" t="s">
        <x:v>113</x:v>
      </x:c>
      <x:c r="J268">
        <x:f t="shared" si="5"/>
        <x:v>0</x:v>
      </x:c>
      <x:c r="K268" t="n">
        <x:f>COUNTIFS(Grunnspill!$A:$A,Annex!B268)</x:f>
        <x:v>0</x:v>
      </x:c>
      <x:c r="L268" t="n">
        <x:f>COUNTIFS(Grunnspill!$A:$A,Annex!C268)</x:f>
        <x:v>0</x:v>
      </x:c>
      <x:c r="M268" t="n">
        <x:f>COUNTIFS(Grunnspill!$A:$A,Annex!D268)</x:f>
        <x:v>0</x:v>
      </x:c>
      <x:c r="N268" t="n">
        <x:f>COUNTIFS(Grunnspill!$A:$A,Annex!E268)</x:f>
        <x:v>0</x:v>
      </x:c>
      <x:c r="O268" t="n">
        <x:f>COUNTIFS(Grunnspill!$A:$A,Annex!F268)</x:f>
        <x:v>0</x:v>
      </x:c>
      <x:c r="P268" t="n">
        <x:f>COUNTIFS(Grunnspill!$A:$A,Annex!G268)</x:f>
        <x:v>0</x:v>
      </x:c>
      <x:c r="Q268" t="n">
        <x:f>COUNTIFS(Grunnspill!$A:$A,Annex!H268)</x:f>
        <x:v>0</x:v>
      </x:c>
      <x:c r="R268" t="n">
        <x:f>COUNTIFS(Grunnspill!$A:$A,Annex!I268)</x:f>
        <x:v>0</x:v>
      </x:c>
    </x:row>
    <x:row r="269">
      <x:c r="A269">
        <x:v>266</x:v>
      </x:c>
      <x:c r="B269" s="1" t="s">
        <x:v>121</x:v>
      </x:c>
      <x:c r="C269" s="1" t="s">
        <x:v>112</x:v>
      </x:c>
      <x:c r="D269" s="1" t="s">
        <x:v>111</x:v>
      </x:c>
      <x:c r="E269" s="1" t="s">
        <x:v>120</x:v>
      </x:c>
      <x:c r="F269" s="1" t="s">
        <x:v>125</x:v>
      </x:c>
      <x:c r="G269" s="1" t="s">
        <x:v>114</x:v>
      </x:c>
      <x:c r="H269" s="1" t="s">
        <x:v>117</x:v>
      </x:c>
      <x:c r="I269" s="1" t="s">
        <x:v>118</x:v>
      </x:c>
      <x:c r="J269">
        <x:f t="shared" si="5"/>
        <x:v>0</x:v>
      </x:c>
      <x:c r="K269" t="n">
        <x:f>COUNTIFS(Grunnspill!$A:$A,Annex!B269)</x:f>
        <x:v>0</x:v>
      </x:c>
      <x:c r="L269" t="n">
        <x:f>COUNTIFS(Grunnspill!$A:$A,Annex!C269)</x:f>
        <x:v>0</x:v>
      </x:c>
      <x:c r="M269" t="n">
        <x:f>COUNTIFS(Grunnspill!$A:$A,Annex!D269)</x:f>
        <x:v>0</x:v>
      </x:c>
      <x:c r="N269" t="n">
        <x:f>COUNTIFS(Grunnspill!$A:$A,Annex!E269)</x:f>
        <x:v>0</x:v>
      </x:c>
      <x:c r="O269" t="n">
        <x:f>COUNTIFS(Grunnspill!$A:$A,Annex!F269)</x:f>
        <x:v>0</x:v>
      </x:c>
      <x:c r="P269" t="n">
        <x:f>COUNTIFS(Grunnspill!$A:$A,Annex!G269)</x:f>
        <x:v>0</x:v>
      </x:c>
      <x:c r="Q269" t="n">
        <x:f>COUNTIFS(Grunnspill!$A:$A,Annex!H269)</x:f>
        <x:v>0</x:v>
      </x:c>
      <x:c r="R269" t="n">
        <x:f>COUNTIFS(Grunnspill!$A:$A,Annex!I269)</x:f>
        <x:v>0</x:v>
      </x:c>
    </x:row>
    <x:row r="270">
      <x:c r="A270">
        <x:v>267</x:v>
      </x:c>
      <x:c r="B270" s="1" t="s">
        <x:v>121</x:v>
      </x:c>
      <x:c r="C270" s="1" t="s">
        <x:v>111</x:v>
      </x:c>
      <x:c r="D270" s="1" t="s">
        <x:v>113</x:v>
      </x:c>
      <x:c r="E270" s="1" t="s">
        <x:v>120</x:v>
      </x:c>
      <x:c r="F270" s="1" t="s">
        <x:v>125</x:v>
      </x:c>
      <x:c r="G270" s="1" t="s">
        <x:v>114</x:v>
      </x:c>
      <x:c r="H270" s="1" t="s">
        <x:v>117</x:v>
      </x:c>
      <x:c r="I270" s="1" t="s">
        <x:v>118</x:v>
      </x:c>
      <x:c r="J270">
        <x:f t="shared" si="5"/>
        <x:v>0</x:v>
      </x:c>
      <x:c r="K270" t="n">
        <x:f>COUNTIFS(Grunnspill!$A:$A,Annex!B270)</x:f>
        <x:v>0</x:v>
      </x:c>
      <x:c r="L270" t="n">
        <x:f>COUNTIFS(Grunnspill!$A:$A,Annex!C270)</x:f>
        <x:v>0</x:v>
      </x:c>
      <x:c r="M270" t="n">
        <x:f>COUNTIFS(Grunnspill!$A:$A,Annex!D270)</x:f>
        <x:v>0</x:v>
      </x:c>
      <x:c r="N270" t="n">
        <x:f>COUNTIFS(Grunnspill!$A:$A,Annex!E270)</x:f>
        <x:v>0</x:v>
      </x:c>
      <x:c r="O270" t="n">
        <x:f>COUNTIFS(Grunnspill!$A:$A,Annex!F270)</x:f>
        <x:v>0</x:v>
      </x:c>
      <x:c r="P270" t="n">
        <x:f>COUNTIFS(Grunnspill!$A:$A,Annex!G270)</x:f>
        <x:v>0</x:v>
      </x:c>
      <x:c r="Q270" t="n">
        <x:f>COUNTIFS(Grunnspill!$A:$A,Annex!H270)</x:f>
        <x:v>0</x:v>
      </x:c>
      <x:c r="R270" t="n">
        <x:f>COUNTIFS(Grunnspill!$A:$A,Annex!I270)</x:f>
        <x:v>0</x:v>
      </x:c>
    </x:row>
    <x:row r="271">
      <x:c r="A271">
        <x:v>268</x:v>
      </x:c>
      <x:c r="B271" s="1" t="s">
        <x:v>121</x:v>
      </x:c>
      <x:c r="C271" s="1" t="s">
        <x:v>112</x:v>
      </x:c>
      <x:c r="D271" s="1" t="s">
        <x:v>111</x:v>
      </x:c>
      <x:c r="E271" s="1" t="s">
        <x:v>120</x:v>
      </x:c>
      <x:c r="F271" s="1" t="s">
        <x:v>125</x:v>
      </x:c>
      <x:c r="G271" s="1" t="s">
        <x:v>114</x:v>
      </x:c>
      <x:c r="H271" s="1" t="s">
        <x:v>117</x:v>
      </x:c>
      <x:c r="I271" s="1" t="s">
        <x:v>113</x:v>
      </x:c>
      <x:c r="J271">
        <x:f t="shared" si="5"/>
        <x:v>0</x:v>
      </x:c>
      <x:c r="K271" t="n">
        <x:f>COUNTIFS(Grunnspill!$A:$A,Annex!B271)</x:f>
        <x:v>0</x:v>
      </x:c>
      <x:c r="L271" t="n">
        <x:f>COUNTIFS(Grunnspill!$A:$A,Annex!C271)</x:f>
        <x:v>0</x:v>
      </x:c>
      <x:c r="M271" t="n">
        <x:f>COUNTIFS(Grunnspill!$A:$A,Annex!D271)</x:f>
        <x:v>0</x:v>
      </x:c>
      <x:c r="N271" t="n">
        <x:f>COUNTIFS(Grunnspill!$A:$A,Annex!E271)</x:f>
        <x:v>0</x:v>
      </x:c>
      <x:c r="O271" t="n">
        <x:f>COUNTIFS(Grunnspill!$A:$A,Annex!F271)</x:f>
        <x:v>0</x:v>
      </x:c>
      <x:c r="P271" t="n">
        <x:f>COUNTIFS(Grunnspill!$A:$A,Annex!G271)</x:f>
        <x:v>0</x:v>
      </x:c>
      <x:c r="Q271" t="n">
        <x:f>COUNTIFS(Grunnspill!$A:$A,Annex!H271)</x:f>
        <x:v>0</x:v>
      </x:c>
      <x:c r="R271" t="n">
        <x:f>COUNTIFS(Grunnspill!$A:$A,Annex!I271)</x:f>
        <x:v>0</x:v>
      </x:c>
    </x:row>
    <x:row r="272">
      <x:c r="A272">
        <x:v>269</x:v>
      </x:c>
      <x:c r="B272" s="1" t="s">
        <x:v>121</x:v>
      </x:c>
      <x:c r="C272" s="1" t="s">
        <x:v>112</x:v>
      </x:c>
      <x:c r="D272" s="1" t="s">
        <x:v>111</x:v>
      </x:c>
      <x:c r="E272" s="1" t="s">
        <x:v>120</x:v>
      </x:c>
      <x:c r="F272" s="1" t="s">
        <x:v>125</x:v>
      </x:c>
      <x:c r="G272" s="1" t="s">
        <x:v>114</x:v>
      </x:c>
      <x:c r="H272" s="1" t="s">
        <x:v>113</x:v>
      </x:c>
      <x:c r="I272" s="1" t="s">
        <x:v>118</x:v>
      </x:c>
      <x:c r="J272">
        <x:f t="shared" si="5"/>
        <x:v>0</x:v>
      </x:c>
      <x:c r="K272" t="n">
        <x:f>COUNTIFS(Grunnspill!$A:$A,Annex!B272)</x:f>
        <x:v>0</x:v>
      </x:c>
      <x:c r="L272" t="n">
        <x:f>COUNTIFS(Grunnspill!$A:$A,Annex!C272)</x:f>
        <x:v>0</x:v>
      </x:c>
      <x:c r="M272" t="n">
        <x:f>COUNTIFS(Grunnspill!$A:$A,Annex!D272)</x:f>
        <x:v>0</x:v>
      </x:c>
      <x:c r="N272" t="n">
        <x:f>COUNTIFS(Grunnspill!$A:$A,Annex!E272)</x:f>
        <x:v>0</x:v>
      </x:c>
      <x:c r="O272" t="n">
        <x:f>COUNTIFS(Grunnspill!$A:$A,Annex!F272)</x:f>
        <x:v>0</x:v>
      </x:c>
      <x:c r="P272" t="n">
        <x:f>COUNTIFS(Grunnspill!$A:$A,Annex!G272)</x:f>
        <x:v>0</x:v>
      </x:c>
      <x:c r="Q272" t="n">
        <x:f>COUNTIFS(Grunnspill!$A:$A,Annex!H272)</x:f>
        <x:v>0</x:v>
      </x:c>
      <x:c r="R272" t="n">
        <x:f>COUNTIFS(Grunnspill!$A:$A,Annex!I272)</x:f>
        <x:v>0</x:v>
      </x:c>
    </x:row>
    <x:row r="273">
      <x:c r="A273">
        <x:v>270</x:v>
      </x:c>
      <x:c r="B273" s="1" t="s">
        <x:v>115</x:v>
      </x:c>
      <x:c r="C273" s="1" t="s">
        <x:v>111</x:v>
      </x:c>
      <x:c r="D273" s="1" t="s">
        <x:v>114</x:v>
      </x:c>
      <x:c r="E273" s="1" t="s">
        <x:v>121</x:v>
      </x:c>
      <x:c r="F273" s="1" t="s">
        <x:v>125</x:v>
      </x:c>
      <x:c r="G273" s="1" t="s">
        <x:v>120</x:v>
      </x:c>
      <x:c r="H273" s="1" t="s">
        <x:v>117</x:v>
      </x:c>
      <x:c r="I273" s="1" t="s">
        <x:v>118</x:v>
      </x:c>
      <x:c r="J273">
        <x:f t="shared" si="5"/>
        <x:v>0</x:v>
      </x:c>
      <x:c r="K273" t="n">
        <x:f>COUNTIFS(Grunnspill!$A:$A,Annex!B273)</x:f>
        <x:v>0</x:v>
      </x:c>
      <x:c r="L273" t="n">
        <x:f>COUNTIFS(Grunnspill!$A:$A,Annex!C273)</x:f>
        <x:v>0</x:v>
      </x:c>
      <x:c r="M273" t="n">
        <x:f>COUNTIFS(Grunnspill!$A:$A,Annex!D273)</x:f>
        <x:v>0</x:v>
      </x:c>
      <x:c r="N273" t="n">
        <x:f>COUNTIFS(Grunnspill!$A:$A,Annex!E273)</x:f>
        <x:v>0</x:v>
      </x:c>
      <x:c r="O273" t="n">
        <x:f>COUNTIFS(Grunnspill!$A:$A,Annex!F273)</x:f>
        <x:v>0</x:v>
      </x:c>
      <x:c r="P273" t="n">
        <x:f>COUNTIFS(Grunnspill!$A:$A,Annex!G273)</x:f>
        <x:v>0</x:v>
      </x:c>
      <x:c r="Q273" t="n">
        <x:f>COUNTIFS(Grunnspill!$A:$A,Annex!H273)</x:f>
        <x:v>0</x:v>
      </x:c>
      <x:c r="R273" t="n">
        <x:f>COUNTIFS(Grunnspill!$A:$A,Annex!I273)</x:f>
        <x:v>0</x:v>
      </x:c>
    </x:row>
    <x:row r="274">
      <x:c r="A274">
        <x:v>271</x:v>
      </x:c>
      <x:c r="B274" s="1" t="s">
        <x:v>115</x:v>
      </x:c>
      <x:c r="C274" s="1" t="s">
        <x:v>112</x:v>
      </x:c>
      <x:c r="D274" s="1" t="s">
        <x:v>114</x:v>
      </x:c>
      <x:c r="E274" s="1" t="s">
        <x:v>121</x:v>
      </x:c>
      <x:c r="F274" s="1" t="s">
        <x:v>125</x:v>
      </x:c>
      <x:c r="G274" s="1" t="s">
        <x:v>120</x:v>
      </x:c>
      <x:c r="H274" s="1" t="s">
        <x:v>117</x:v>
      </x:c>
      <x:c r="I274" s="1" t="s">
        <x:v>111</x:v>
      </x:c>
      <x:c r="J274">
        <x:f t="shared" si="5"/>
        <x:v>0</x:v>
      </x:c>
      <x:c r="K274" t="n">
        <x:f>COUNTIFS(Grunnspill!$A:$A,Annex!B274)</x:f>
        <x:v>0</x:v>
      </x:c>
      <x:c r="L274" t="n">
        <x:f>COUNTIFS(Grunnspill!$A:$A,Annex!C274)</x:f>
        <x:v>0</x:v>
      </x:c>
      <x:c r="M274" t="n">
        <x:f>COUNTIFS(Grunnspill!$A:$A,Annex!D274)</x:f>
        <x:v>0</x:v>
      </x:c>
      <x:c r="N274" t="n">
        <x:f>COUNTIFS(Grunnspill!$A:$A,Annex!E274)</x:f>
        <x:v>0</x:v>
      </x:c>
      <x:c r="O274" t="n">
        <x:f>COUNTIFS(Grunnspill!$A:$A,Annex!F274)</x:f>
        <x:v>0</x:v>
      </x:c>
      <x:c r="P274" t="n">
        <x:f>COUNTIFS(Grunnspill!$A:$A,Annex!G274)</x:f>
        <x:v>0</x:v>
      </x:c>
      <x:c r="Q274" t="n">
        <x:f>COUNTIFS(Grunnspill!$A:$A,Annex!H274)</x:f>
        <x:v>0</x:v>
      </x:c>
      <x:c r="R274" t="n">
        <x:f>COUNTIFS(Grunnspill!$A:$A,Annex!I274)</x:f>
        <x:v>0</x:v>
      </x:c>
    </x:row>
    <x:row r="275">
      <x:c r="A275">
        <x:v>272</x:v>
      </x:c>
      <x:c r="B275" s="1" t="s">
        <x:v>115</x:v>
      </x:c>
      <x:c r="C275" s="1" t="s">
        <x:v>112</x:v>
      </x:c>
      <x:c r="D275" s="1" t="s">
        <x:v>111</x:v>
      </x:c>
      <x:c r="E275" s="1" t="s">
        <x:v>121</x:v>
      </x:c>
      <x:c r="F275" s="1" t="s">
        <x:v>125</x:v>
      </x:c>
      <x:c r="G275" s="1" t="s">
        <x:v>114</x:v>
      </x:c>
      <x:c r="H275" s="1" t="s">
        <x:v>120</x:v>
      </x:c>
      <x:c r="I275" s="1" t="s">
        <x:v>118</x:v>
      </x:c>
      <x:c r="J275">
        <x:f t="shared" si="5"/>
        <x:v>0</x:v>
      </x:c>
      <x:c r="K275" t="n">
        <x:f>COUNTIFS(Grunnspill!$A:$A,Annex!B275)</x:f>
        <x:v>0</x:v>
      </x:c>
      <x:c r="L275" t="n">
        <x:f>COUNTIFS(Grunnspill!$A:$A,Annex!C275)</x:f>
        <x:v>0</x:v>
      </x:c>
      <x:c r="M275" t="n">
        <x:f>COUNTIFS(Grunnspill!$A:$A,Annex!D275)</x:f>
        <x:v>0</x:v>
      </x:c>
      <x:c r="N275" t="n">
        <x:f>COUNTIFS(Grunnspill!$A:$A,Annex!E275)</x:f>
        <x:v>0</x:v>
      </x:c>
      <x:c r="O275" t="n">
        <x:f>COUNTIFS(Grunnspill!$A:$A,Annex!F275)</x:f>
        <x:v>0</x:v>
      </x:c>
      <x:c r="P275" t="n">
        <x:f>COUNTIFS(Grunnspill!$A:$A,Annex!G275)</x:f>
        <x:v>0</x:v>
      </x:c>
      <x:c r="Q275" t="n">
        <x:f>COUNTIFS(Grunnspill!$A:$A,Annex!H275)</x:f>
        <x:v>0</x:v>
      </x:c>
      <x:c r="R275" t="n">
        <x:f>COUNTIFS(Grunnspill!$A:$A,Annex!I275)</x:f>
        <x:v>0</x:v>
      </x:c>
    </x:row>
    <x:row r="276">
      <x:c r="A276">
        <x:v>273</x:v>
      </x:c>
      <x:c r="B276" s="1" t="s">
        <x:v>115</x:v>
      </x:c>
      <x:c r="C276" s="1" t="s">
        <x:v>111</x:v>
      </x:c>
      <x:c r="D276" s="1" t="s">
        <x:v>114</x:v>
      </x:c>
      <x:c r="E276" s="1" t="s">
        <x:v>121</x:v>
      </x:c>
      <x:c r="F276" s="1" t="s">
        <x:v>125</x:v>
      </x:c>
      <x:c r="G276" s="1" t="s">
        <x:v>120</x:v>
      </x:c>
      <x:c r="H276" s="1" t="s">
        <x:v>117</x:v>
      </x:c>
      <x:c r="I276" s="1" t="s">
        <x:v>113</x:v>
      </x:c>
      <x:c r="J276">
        <x:f t="shared" si="5"/>
        <x:v>0</x:v>
      </x:c>
      <x:c r="K276" t="n">
        <x:f>COUNTIFS(Grunnspill!$A:$A,Annex!B276)</x:f>
        <x:v>0</x:v>
      </x:c>
      <x:c r="L276" t="n">
        <x:f>COUNTIFS(Grunnspill!$A:$A,Annex!C276)</x:f>
        <x:v>0</x:v>
      </x:c>
      <x:c r="M276" t="n">
        <x:f>COUNTIFS(Grunnspill!$A:$A,Annex!D276)</x:f>
        <x:v>0</x:v>
      </x:c>
      <x:c r="N276" t="n">
        <x:f>COUNTIFS(Grunnspill!$A:$A,Annex!E276)</x:f>
        <x:v>0</x:v>
      </x:c>
      <x:c r="O276" t="n">
        <x:f>COUNTIFS(Grunnspill!$A:$A,Annex!F276)</x:f>
        <x:v>0</x:v>
      </x:c>
      <x:c r="P276" t="n">
        <x:f>COUNTIFS(Grunnspill!$A:$A,Annex!G276)</x:f>
        <x:v>0</x:v>
      </x:c>
      <x:c r="Q276" t="n">
        <x:f>COUNTIFS(Grunnspill!$A:$A,Annex!H276)</x:f>
        <x:v>0</x:v>
      </x:c>
      <x:c r="R276" t="n">
        <x:f>COUNTIFS(Grunnspill!$A:$A,Annex!I276)</x:f>
        <x:v>0</x:v>
      </x:c>
    </x:row>
    <x:row r="277">
      <x:c r="A277">
        <x:v>274</x:v>
      </x:c>
      <x:c r="B277" s="1" t="s">
        <x:v>115</x:v>
      </x:c>
      <x:c r="C277" s="1" t="s">
        <x:v>111</x:v>
      </x:c>
      <x:c r="D277" s="1" t="s">
        <x:v>114</x:v>
      </x:c>
      <x:c r="E277" s="1" t="s">
        <x:v>121</x:v>
      </x:c>
      <x:c r="F277" s="1" t="s">
        <x:v>125</x:v>
      </x:c>
      <x:c r="G277" s="1" t="s">
        <x:v>120</x:v>
      </x:c>
      <x:c r="H277" s="1" t="s">
        <x:v>113</x:v>
      </x:c>
      <x:c r="I277" s="1" t="s">
        <x:v>118</x:v>
      </x:c>
      <x:c r="J277">
        <x:f t="shared" si="5"/>
        <x:v>0</x:v>
      </x:c>
      <x:c r="K277" t="n">
        <x:f>COUNTIFS(Grunnspill!$A:$A,Annex!B277)</x:f>
        <x:v>0</x:v>
      </x:c>
      <x:c r="L277" t="n">
        <x:f>COUNTIFS(Grunnspill!$A:$A,Annex!C277)</x:f>
        <x:v>0</x:v>
      </x:c>
      <x:c r="M277" t="n">
        <x:f>COUNTIFS(Grunnspill!$A:$A,Annex!D277)</x:f>
        <x:v>0</x:v>
      </x:c>
      <x:c r="N277" t="n">
        <x:f>COUNTIFS(Grunnspill!$A:$A,Annex!E277)</x:f>
        <x:v>0</x:v>
      </x:c>
      <x:c r="O277" t="n">
        <x:f>COUNTIFS(Grunnspill!$A:$A,Annex!F277)</x:f>
        <x:v>0</x:v>
      </x:c>
      <x:c r="P277" t="n">
        <x:f>COUNTIFS(Grunnspill!$A:$A,Annex!G277)</x:f>
        <x:v>0</x:v>
      </x:c>
      <x:c r="Q277" t="n">
        <x:f>COUNTIFS(Grunnspill!$A:$A,Annex!H277)</x:f>
        <x:v>0</x:v>
      </x:c>
      <x:c r="R277" t="n">
        <x:f>COUNTIFS(Grunnspill!$A:$A,Annex!I277)</x:f>
        <x:v>0</x:v>
      </x:c>
    </x:row>
    <x:row r="278">
      <x:c r="A278">
        <x:v>275</x:v>
      </x:c>
      <x:c r="B278" s="1" t="s">
        <x:v>115</x:v>
      </x:c>
      <x:c r="C278" s="1" t="s">
        <x:v>112</x:v>
      </x:c>
      <x:c r="D278" s="1" t="s">
        <x:v>111</x:v>
      </x:c>
      <x:c r="E278" s="1" t="s">
        <x:v>121</x:v>
      </x:c>
      <x:c r="F278" s="1" t="s">
        <x:v>125</x:v>
      </x:c>
      <x:c r="G278" s="1" t="s">
        <x:v>114</x:v>
      </x:c>
      <x:c r="H278" s="1" t="s">
        <x:v>120</x:v>
      </x:c>
      <x:c r="I278" s="1" t="s">
        <x:v>113</x:v>
      </x:c>
      <x:c r="J278" t="n">
        <x:f t="shared" ref="J278:J341" si="6">SUM(K278:R278)</x:f>
        <x:v>0</x:v>
      </x:c>
      <x:c r="K278" t="n">
        <x:f>COUNTIFS(Grunnspill!$A:$A,Annex!B278)</x:f>
        <x:v>0</x:v>
      </x:c>
      <x:c r="L278" t="n">
        <x:f>COUNTIFS(Grunnspill!$A:$A,Annex!C278)</x:f>
        <x:v>0</x:v>
      </x:c>
      <x:c r="M278" t="n">
        <x:f>COUNTIFS(Grunnspill!$A:$A,Annex!D278)</x:f>
        <x:v>0</x:v>
      </x:c>
      <x:c r="N278" t="n">
        <x:f>COUNTIFS(Grunnspill!$A:$A,Annex!E278)</x:f>
        <x:v>0</x:v>
      </x:c>
      <x:c r="O278" t="n">
        <x:f>COUNTIFS(Grunnspill!$A:$A,Annex!F278)</x:f>
        <x:v>0</x:v>
      </x:c>
      <x:c r="P278" t="n">
        <x:f>COUNTIFS(Grunnspill!$A:$A,Annex!G278)</x:f>
        <x:v>0</x:v>
      </x:c>
      <x:c r="Q278" t="n">
        <x:f>COUNTIFS(Grunnspill!$A:$A,Annex!H278)</x:f>
        <x:v>0</x:v>
      </x:c>
      <x:c r="R278" t="n">
        <x:f>COUNTIFS(Grunnspill!$A:$A,Annex!I278)</x:f>
        <x:v>0</x:v>
      </x:c>
    </x:row>
    <x:row r="279">
      <x:c r="A279">
        <x:v>276</x:v>
      </x:c>
      <x:c r="B279" s="1" t="s">
        <x:v>121</x:v>
      </x:c>
      <x:c r="C279" s="1" t="s">
        <x:v>116</x:v>
      </x:c>
      <x:c r="D279" s="1" t="s">
        <x:v>111</x:v>
      </x:c>
      <x:c r="E279" s="1" t="s">
        <x:v>120</x:v>
      </x:c>
      <x:c r="F279" s="1" t="s">
        <x:v>125</x:v>
      </x:c>
      <x:c r="G279" s="1" t="s">
        <x:v>114</x:v>
      </x:c>
      <x:c r="H279" s="1" t="s">
        <x:v>117</x:v>
      </x:c>
      <x:c r="I279" s="1" t="s">
        <x:v>118</x:v>
      </x:c>
      <x:c r="J279">
        <x:f t="shared" si="6"/>
        <x:v>0</x:v>
      </x:c>
      <x:c r="K279" t="n">
        <x:f>COUNTIFS(Grunnspill!$A:$A,Annex!B279)</x:f>
        <x:v>0</x:v>
      </x:c>
      <x:c r="L279" t="n">
        <x:f>COUNTIFS(Grunnspill!$A:$A,Annex!C279)</x:f>
        <x:v>0</x:v>
      </x:c>
      <x:c r="M279" t="n">
        <x:f>COUNTIFS(Grunnspill!$A:$A,Annex!D279)</x:f>
        <x:v>0</x:v>
      </x:c>
      <x:c r="N279" t="n">
        <x:f>COUNTIFS(Grunnspill!$A:$A,Annex!E279)</x:f>
        <x:v>0</x:v>
      </x:c>
      <x:c r="O279" t="n">
        <x:f>COUNTIFS(Grunnspill!$A:$A,Annex!F279)</x:f>
        <x:v>0</x:v>
      </x:c>
      <x:c r="P279" t="n">
        <x:f>COUNTIFS(Grunnspill!$A:$A,Annex!G279)</x:f>
        <x:v>0</x:v>
      </x:c>
      <x:c r="Q279" t="n">
        <x:f>COUNTIFS(Grunnspill!$A:$A,Annex!H279)</x:f>
        <x:v>0</x:v>
      </x:c>
      <x:c r="R279" t="n">
        <x:f>COUNTIFS(Grunnspill!$A:$A,Annex!I279)</x:f>
        <x:v>0</x:v>
      </x:c>
    </x:row>
    <x:row r="280">
      <x:c r="A280">
        <x:v>277</x:v>
      </x:c>
      <x:c r="B280" s="1" t="s">
        <x:v>121</x:v>
      </x:c>
      <x:c r="C280" s="1" t="s">
        <x:v>116</x:v>
      </x:c>
      <x:c r="D280" s="1" t="s">
        <x:v>112</x:v>
      </x:c>
      <x:c r="E280" s="1" t="s">
        <x:v>120</x:v>
      </x:c>
      <x:c r="F280" s="1" t="s">
        <x:v>125</x:v>
      </x:c>
      <x:c r="G280" s="1" t="s">
        <x:v>114</x:v>
      </x:c>
      <x:c r="H280" s="1" t="s">
        <x:v>117</x:v>
      </x:c>
      <x:c r="I280" s="1" t="s">
        <x:v>111</x:v>
      </x:c>
      <x:c r="J280">
        <x:f t="shared" si="6"/>
        <x:v>0</x:v>
      </x:c>
      <x:c r="K280" t="n">
        <x:f>COUNTIFS(Grunnspill!$A:$A,Annex!B280)</x:f>
        <x:v>0</x:v>
      </x:c>
      <x:c r="L280" t="n">
        <x:f>COUNTIFS(Grunnspill!$A:$A,Annex!C280)</x:f>
        <x:v>0</x:v>
      </x:c>
      <x:c r="M280" t="n">
        <x:f>COUNTIFS(Grunnspill!$A:$A,Annex!D280)</x:f>
        <x:v>0</x:v>
      </x:c>
      <x:c r="N280" t="n">
        <x:f>COUNTIFS(Grunnspill!$A:$A,Annex!E280)</x:f>
        <x:v>0</x:v>
      </x:c>
      <x:c r="O280" t="n">
        <x:f>COUNTIFS(Grunnspill!$A:$A,Annex!F280)</x:f>
        <x:v>0</x:v>
      </x:c>
      <x:c r="P280" t="n">
        <x:f>COUNTIFS(Grunnspill!$A:$A,Annex!G280)</x:f>
        <x:v>0</x:v>
      </x:c>
      <x:c r="Q280" t="n">
        <x:f>COUNTIFS(Grunnspill!$A:$A,Annex!H280)</x:f>
        <x:v>0</x:v>
      </x:c>
      <x:c r="R280" t="n">
        <x:f>COUNTIFS(Grunnspill!$A:$A,Annex!I280)</x:f>
        <x:v>0</x:v>
      </x:c>
    </x:row>
    <x:row r="281">
      <x:c r="A281">
        <x:v>278</x:v>
      </x:c>
      <x:c r="B281" s="1" t="s">
        <x:v>121</x:v>
      </x:c>
      <x:c r="C281" s="1" t="s">
        <x:v>116</x:v>
      </x:c>
      <x:c r="D281" s="1" t="s">
        <x:v>112</x:v>
      </x:c>
      <x:c r="E281" s="1" t="s">
        <x:v>120</x:v>
      </x:c>
      <x:c r="F281" s="1" t="s">
        <x:v>125</x:v>
      </x:c>
      <x:c r="G281" s="1" t="s">
        <x:v>114</x:v>
      </x:c>
      <x:c r="H281" s="1" t="s">
        <x:v>111</x:v>
      </x:c>
      <x:c r="I281" s="1" t="s">
        <x:v>118</x:v>
      </x:c>
      <x:c r="J281">
        <x:f t="shared" si="6"/>
        <x:v>0</x:v>
      </x:c>
      <x:c r="K281" t="n">
        <x:f>COUNTIFS(Grunnspill!$A:$A,Annex!B281)</x:f>
        <x:v>0</x:v>
      </x:c>
      <x:c r="L281" t="n">
        <x:f>COUNTIFS(Grunnspill!$A:$A,Annex!C281)</x:f>
        <x:v>0</x:v>
      </x:c>
      <x:c r="M281" t="n">
        <x:f>COUNTIFS(Grunnspill!$A:$A,Annex!D281)</x:f>
        <x:v>0</x:v>
      </x:c>
      <x:c r="N281" t="n">
        <x:f>COUNTIFS(Grunnspill!$A:$A,Annex!E281)</x:f>
        <x:v>0</x:v>
      </x:c>
      <x:c r="O281" t="n">
        <x:f>COUNTIFS(Grunnspill!$A:$A,Annex!F281)</x:f>
        <x:v>0</x:v>
      </x:c>
      <x:c r="P281" t="n">
        <x:f>COUNTIFS(Grunnspill!$A:$A,Annex!G281)</x:f>
        <x:v>0</x:v>
      </x:c>
      <x:c r="Q281" t="n">
        <x:f>COUNTIFS(Grunnspill!$A:$A,Annex!H281)</x:f>
        <x:v>0</x:v>
      </x:c>
      <x:c r="R281" t="n">
        <x:f>COUNTIFS(Grunnspill!$A:$A,Annex!I281)</x:f>
        <x:v>0</x:v>
      </x:c>
    </x:row>
    <x:row r="282">
      <x:c r="A282">
        <x:v>279</x:v>
      </x:c>
      <x:c r="B282" s="1" t="s">
        <x:v>121</x:v>
      </x:c>
      <x:c r="C282" s="1" t="s">
        <x:v>116</x:v>
      </x:c>
      <x:c r="D282" s="1" t="s">
        <x:v>111</x:v>
      </x:c>
      <x:c r="E282" s="1" t="s">
        <x:v>120</x:v>
      </x:c>
      <x:c r="F282" s="1" t="s">
        <x:v>125</x:v>
      </x:c>
      <x:c r="G282" s="1" t="s">
        <x:v>114</x:v>
      </x:c>
      <x:c r="H282" s="1" t="s">
        <x:v>117</x:v>
      </x:c>
      <x:c r="I282" s="1" t="s">
        <x:v>113</x:v>
      </x:c>
      <x:c r="J282">
        <x:f t="shared" si="6"/>
        <x:v>0</x:v>
      </x:c>
      <x:c r="K282" t="n">
        <x:f>COUNTIFS(Grunnspill!$A:$A,Annex!B282)</x:f>
        <x:v>0</x:v>
      </x:c>
      <x:c r="L282" t="n">
        <x:f>COUNTIFS(Grunnspill!$A:$A,Annex!C282)</x:f>
        <x:v>0</x:v>
      </x:c>
      <x:c r="M282" t="n">
        <x:f>COUNTIFS(Grunnspill!$A:$A,Annex!D282)</x:f>
        <x:v>0</x:v>
      </x:c>
      <x:c r="N282" t="n">
        <x:f>COUNTIFS(Grunnspill!$A:$A,Annex!E282)</x:f>
        <x:v>0</x:v>
      </x:c>
      <x:c r="O282" t="n">
        <x:f>COUNTIFS(Grunnspill!$A:$A,Annex!F282)</x:f>
        <x:v>0</x:v>
      </x:c>
      <x:c r="P282" t="n">
        <x:f>COUNTIFS(Grunnspill!$A:$A,Annex!G282)</x:f>
        <x:v>0</x:v>
      </x:c>
      <x:c r="Q282" t="n">
        <x:f>COUNTIFS(Grunnspill!$A:$A,Annex!H282)</x:f>
        <x:v>0</x:v>
      </x:c>
      <x:c r="R282" t="n">
        <x:f>COUNTIFS(Grunnspill!$A:$A,Annex!I282)</x:f>
        <x:v>0</x:v>
      </x:c>
    </x:row>
    <x:row r="283">
      <x:c r="A283">
        <x:v>280</x:v>
      </x:c>
      <x:c r="B283" s="1" t="s">
        <x:v>121</x:v>
      </x:c>
      <x:c r="C283" s="1" t="s">
        <x:v>116</x:v>
      </x:c>
      <x:c r="D283" s="1" t="s">
        <x:v>111</x:v>
      </x:c>
      <x:c r="E283" s="1" t="s">
        <x:v>120</x:v>
      </x:c>
      <x:c r="F283" s="1" t="s">
        <x:v>125</x:v>
      </x:c>
      <x:c r="G283" s="1" t="s">
        <x:v>114</x:v>
      </x:c>
      <x:c r="H283" s="1" t="s">
        <x:v>113</x:v>
      </x:c>
      <x:c r="I283" s="1" t="s">
        <x:v>118</x:v>
      </x:c>
      <x:c r="J283">
        <x:f t="shared" si="6"/>
        <x:v>0</x:v>
      </x:c>
      <x:c r="K283" t="n">
        <x:f>COUNTIFS(Grunnspill!$A:$A,Annex!B283)</x:f>
        <x:v>0</x:v>
      </x:c>
      <x:c r="L283" t="n">
        <x:f>COUNTIFS(Grunnspill!$A:$A,Annex!C283)</x:f>
        <x:v>0</x:v>
      </x:c>
      <x:c r="M283" t="n">
        <x:f>COUNTIFS(Grunnspill!$A:$A,Annex!D283)</x:f>
        <x:v>0</x:v>
      </x:c>
      <x:c r="N283" t="n">
        <x:f>COUNTIFS(Grunnspill!$A:$A,Annex!E283)</x:f>
        <x:v>0</x:v>
      </x:c>
      <x:c r="O283" t="n">
        <x:f>COUNTIFS(Grunnspill!$A:$A,Annex!F283)</x:f>
        <x:v>0</x:v>
      </x:c>
      <x:c r="P283" t="n">
        <x:f>COUNTIFS(Grunnspill!$A:$A,Annex!G283)</x:f>
        <x:v>0</x:v>
      </x:c>
      <x:c r="Q283" t="n">
        <x:f>COUNTIFS(Grunnspill!$A:$A,Annex!H283)</x:f>
        <x:v>0</x:v>
      </x:c>
      <x:c r="R283" t="n">
        <x:f>COUNTIFS(Grunnspill!$A:$A,Annex!I283)</x:f>
        <x:v>0</x:v>
      </x:c>
    </x:row>
    <x:row r="284">
      <x:c r="A284">
        <x:v>281</x:v>
      </x:c>
      <x:c r="B284" s="1" t="s">
        <x:v>121</x:v>
      </x:c>
      <x:c r="C284" s="1" t="s">
        <x:v>116</x:v>
      </x:c>
      <x:c r="D284" s="1" t="s">
        <x:v>112</x:v>
      </x:c>
      <x:c r="E284" s="1" t="s">
        <x:v>120</x:v>
      </x:c>
      <x:c r="F284" s="1" t="s">
        <x:v>125</x:v>
      </x:c>
      <x:c r="G284" s="1" t="s">
        <x:v>114</x:v>
      </x:c>
      <x:c r="H284" s="1" t="s">
        <x:v>111</x:v>
      </x:c>
      <x:c r="I284" s="1" t="s">
        <x:v>113</x:v>
      </x:c>
      <x:c r="J284">
        <x:f t="shared" si="6"/>
        <x:v>0</x:v>
      </x:c>
      <x:c r="K284" t="n">
        <x:f>COUNTIFS(Grunnspill!$A:$A,Annex!B284)</x:f>
        <x:v>0</x:v>
      </x:c>
      <x:c r="L284" t="n">
        <x:f>COUNTIFS(Grunnspill!$A:$A,Annex!C284)</x:f>
        <x:v>0</x:v>
      </x:c>
      <x:c r="M284" t="n">
        <x:f>COUNTIFS(Grunnspill!$A:$A,Annex!D284)</x:f>
        <x:v>0</x:v>
      </x:c>
      <x:c r="N284" t="n">
        <x:f>COUNTIFS(Grunnspill!$A:$A,Annex!E284)</x:f>
        <x:v>0</x:v>
      </x:c>
      <x:c r="O284" t="n">
        <x:f>COUNTIFS(Grunnspill!$A:$A,Annex!F284)</x:f>
        <x:v>0</x:v>
      </x:c>
      <x:c r="P284" t="n">
        <x:f>COUNTIFS(Grunnspill!$A:$A,Annex!G284)</x:f>
        <x:v>0</x:v>
      </x:c>
      <x:c r="Q284" t="n">
        <x:f>COUNTIFS(Grunnspill!$A:$A,Annex!H284)</x:f>
        <x:v>0</x:v>
      </x:c>
      <x:c r="R284" t="n">
        <x:f>COUNTIFS(Grunnspill!$A:$A,Annex!I284)</x:f>
        <x:v>0</x:v>
      </x:c>
    </x:row>
    <x:row r="285">
      <x:c r="A285">
        <x:v>282</x:v>
      </x:c>
      <x:c r="B285" s="1" t="s">
        <x:v>115</x:v>
      </x:c>
      <x:c r="C285" s="1" t="s">
        <x:v>116</x:v>
      </x:c>
      <x:c r="D285" s="1" t="s">
        <x:v>114</x:v>
      </x:c>
      <x:c r="E285" s="1" t="s">
        <x:v>121</x:v>
      </x:c>
      <x:c r="F285" s="1" t="s">
        <x:v>125</x:v>
      </x:c>
      <x:c r="G285" s="1" t="s">
        <x:v>120</x:v>
      </x:c>
      <x:c r="H285" s="1" t="s">
        <x:v>117</x:v>
      </x:c>
      <x:c r="I285" s="1" t="s">
        <x:v>111</x:v>
      </x:c>
      <x:c r="J285">
        <x:f t="shared" si="6"/>
        <x:v>0</x:v>
      </x:c>
      <x:c r="K285" t="n">
        <x:f>COUNTIFS(Grunnspill!$A:$A,Annex!B285)</x:f>
        <x:v>0</x:v>
      </x:c>
      <x:c r="L285" t="n">
        <x:f>COUNTIFS(Grunnspill!$A:$A,Annex!C285)</x:f>
        <x:v>0</x:v>
      </x:c>
      <x:c r="M285" t="n">
        <x:f>COUNTIFS(Grunnspill!$A:$A,Annex!D285)</x:f>
        <x:v>0</x:v>
      </x:c>
      <x:c r="N285" t="n">
        <x:f>COUNTIFS(Grunnspill!$A:$A,Annex!E285)</x:f>
        <x:v>0</x:v>
      </x:c>
      <x:c r="O285" t="n">
        <x:f>COUNTIFS(Grunnspill!$A:$A,Annex!F285)</x:f>
        <x:v>0</x:v>
      </x:c>
      <x:c r="P285" t="n">
        <x:f>COUNTIFS(Grunnspill!$A:$A,Annex!G285)</x:f>
        <x:v>0</x:v>
      </x:c>
      <x:c r="Q285" t="n">
        <x:f>COUNTIFS(Grunnspill!$A:$A,Annex!H285)</x:f>
        <x:v>0</x:v>
      </x:c>
      <x:c r="R285" t="n">
        <x:f>COUNTIFS(Grunnspill!$A:$A,Annex!I285)</x:f>
        <x:v>0</x:v>
      </x:c>
    </x:row>
    <x:row r="286">
      <x:c r="A286">
        <x:v>283</x:v>
      </x:c>
      <x:c r="B286" s="1" t="s">
        <x:v>115</x:v>
      </x:c>
      <x:c r="C286" s="1" t="s">
        <x:v>116</x:v>
      </x:c>
      <x:c r="D286" s="1" t="s">
        <x:v>111</x:v>
      </x:c>
      <x:c r="E286" s="1" t="s">
        <x:v>121</x:v>
      </x:c>
      <x:c r="F286" s="1" t="s">
        <x:v>125</x:v>
      </x:c>
      <x:c r="G286" s="1" t="s">
        <x:v>114</x:v>
      </x:c>
      <x:c r="H286" s="1" t="s">
        <x:v>120</x:v>
      </x:c>
      <x:c r="I286" s="1" t="s">
        <x:v>118</x:v>
      </x:c>
      <x:c r="J286">
        <x:f t="shared" si="6"/>
        <x:v>0</x:v>
      </x:c>
      <x:c r="K286" t="n">
        <x:f>COUNTIFS(Grunnspill!$A:$A,Annex!B286)</x:f>
        <x:v>0</x:v>
      </x:c>
      <x:c r="L286" t="n">
        <x:f>COUNTIFS(Grunnspill!$A:$A,Annex!C286)</x:f>
        <x:v>0</x:v>
      </x:c>
      <x:c r="M286" t="n">
        <x:f>COUNTIFS(Grunnspill!$A:$A,Annex!D286)</x:f>
        <x:v>0</x:v>
      </x:c>
      <x:c r="N286" t="n">
        <x:f>COUNTIFS(Grunnspill!$A:$A,Annex!E286)</x:f>
        <x:v>0</x:v>
      </x:c>
      <x:c r="O286" t="n">
        <x:f>COUNTIFS(Grunnspill!$A:$A,Annex!F286)</x:f>
        <x:v>0</x:v>
      </x:c>
      <x:c r="P286" t="n">
        <x:f>COUNTIFS(Grunnspill!$A:$A,Annex!G286)</x:f>
        <x:v>0</x:v>
      </x:c>
      <x:c r="Q286" t="n">
        <x:f>COUNTIFS(Grunnspill!$A:$A,Annex!H286)</x:f>
        <x:v>0</x:v>
      </x:c>
      <x:c r="R286" t="n">
        <x:f>COUNTIFS(Grunnspill!$A:$A,Annex!I286)</x:f>
        <x:v>0</x:v>
      </x:c>
    </x:row>
    <x:row r="287">
      <x:c r="A287">
        <x:v>284</x:v>
      </x:c>
      <x:c r="B287" s="1" t="s">
        <x:v>115</x:v>
      </x:c>
      <x:c r="C287" s="1" t="s">
        <x:v>116</x:v>
      </x:c>
      <x:c r="D287" s="1" t="s">
        <x:v>112</x:v>
      </x:c>
      <x:c r="E287" s="1" t="s">
        <x:v>121</x:v>
      </x:c>
      <x:c r="F287" s="1" t="s">
        <x:v>125</x:v>
      </x:c>
      <x:c r="G287" s="1" t="s">
        <x:v>114</x:v>
      </x:c>
      <x:c r="H287" s="1" t="s">
        <x:v>120</x:v>
      </x:c>
      <x:c r="I287" s="1" t="s">
        <x:v>111</x:v>
      </x:c>
      <x:c r="J287">
        <x:f t="shared" si="6"/>
        <x:v>0</x:v>
      </x:c>
      <x:c r="K287" t="n">
        <x:f>COUNTIFS(Grunnspill!$A:$A,Annex!B287)</x:f>
        <x:v>0</x:v>
      </x:c>
      <x:c r="L287" t="n">
        <x:f>COUNTIFS(Grunnspill!$A:$A,Annex!C287)</x:f>
        <x:v>0</x:v>
      </x:c>
      <x:c r="M287" t="n">
        <x:f>COUNTIFS(Grunnspill!$A:$A,Annex!D287)</x:f>
        <x:v>0</x:v>
      </x:c>
      <x:c r="N287" t="n">
        <x:f>COUNTIFS(Grunnspill!$A:$A,Annex!E287)</x:f>
        <x:v>0</x:v>
      </x:c>
      <x:c r="O287" t="n">
        <x:f>COUNTIFS(Grunnspill!$A:$A,Annex!F287)</x:f>
        <x:v>0</x:v>
      </x:c>
      <x:c r="P287" t="n">
        <x:f>COUNTIFS(Grunnspill!$A:$A,Annex!G287)</x:f>
        <x:v>0</x:v>
      </x:c>
      <x:c r="Q287" t="n">
        <x:f>COUNTIFS(Grunnspill!$A:$A,Annex!H287)</x:f>
        <x:v>0</x:v>
      </x:c>
      <x:c r="R287" t="n">
        <x:f>COUNTIFS(Grunnspill!$A:$A,Annex!I287)</x:f>
        <x:v>0</x:v>
      </x:c>
    </x:row>
    <x:row r="288">
      <x:c r="A288">
        <x:v>285</x:v>
      </x:c>
      <x:c r="B288" s="1" t="s">
        <x:v>115</x:v>
      </x:c>
      <x:c r="C288" s="1" t="s">
        <x:v>116</x:v>
      </x:c>
      <x:c r="D288" s="1" t="s">
        <x:v>111</x:v>
      </x:c>
      <x:c r="E288" s="1" t="s">
        <x:v>121</x:v>
      </x:c>
      <x:c r="F288" s="1" t="s">
        <x:v>125</x:v>
      </x:c>
      <x:c r="G288" s="1" t="s">
        <x:v>114</x:v>
      </x:c>
      <x:c r="H288" s="1" t="s">
        <x:v>120</x:v>
      </x:c>
      <x:c r="I288" s="1" t="s">
        <x:v>113</x:v>
      </x:c>
      <x:c r="J288">
        <x:f t="shared" si="6"/>
        <x:v>0</x:v>
      </x:c>
      <x:c r="K288" t="n">
        <x:f>COUNTIFS(Grunnspill!$A:$A,Annex!B288)</x:f>
        <x:v>0</x:v>
      </x:c>
      <x:c r="L288" t="n">
        <x:f>COUNTIFS(Grunnspill!$A:$A,Annex!C288)</x:f>
        <x:v>0</x:v>
      </x:c>
      <x:c r="M288" t="n">
        <x:f>COUNTIFS(Grunnspill!$A:$A,Annex!D288)</x:f>
        <x:v>0</x:v>
      </x:c>
      <x:c r="N288" t="n">
        <x:f>COUNTIFS(Grunnspill!$A:$A,Annex!E288)</x:f>
        <x:v>0</x:v>
      </x:c>
      <x:c r="O288" t="n">
        <x:f>COUNTIFS(Grunnspill!$A:$A,Annex!F288)</x:f>
        <x:v>0</x:v>
      </x:c>
      <x:c r="P288" t="n">
        <x:f>COUNTIFS(Grunnspill!$A:$A,Annex!G288)</x:f>
        <x:v>0</x:v>
      </x:c>
      <x:c r="Q288" t="n">
        <x:f>COUNTIFS(Grunnspill!$A:$A,Annex!H288)</x:f>
        <x:v>0</x:v>
      </x:c>
      <x:c r="R288" t="n">
        <x:f>COUNTIFS(Grunnspill!$A:$A,Annex!I288)</x:f>
        <x:v>0</x:v>
      </x:c>
    </x:row>
    <x:row r="289">
      <x:c r="A289">
        <x:v>286</x:v>
      </x:c>
      <x:c r="B289" s="1" t="s">
        <x:v>115</x:v>
      </x:c>
      <x:c r="C289" s="1" t="s">
        <x:v>112</x:v>
      </x:c>
      <x:c r="D289" s="1" t="s">
        <x:v>124</x:v>
      </x:c>
      <x:c r="E289" s="1" t="s">
        <x:v>125</x:v>
      </x:c>
      <x:c r="F289" s="1" t="s">
        <x:v>113</x:v>
      </x:c>
      <x:c r="G289" s="1" t="s">
        <x:v>116</x:v>
      </x:c>
      <x:c r="H289" s="1" t="s">
        <x:v>117</x:v>
      </x:c>
      <x:c r="I289" s="1" t="s">
        <x:v>118</x:v>
      </x:c>
      <x:c r="J289">
        <x:f t="shared" si="6"/>
        <x:v>0</x:v>
      </x:c>
      <x:c r="K289" t="n">
        <x:f>COUNTIFS(Grunnspill!$A:$A,Annex!B289)</x:f>
        <x:v>0</x:v>
      </x:c>
      <x:c r="L289" t="n">
        <x:f>COUNTIFS(Grunnspill!$A:$A,Annex!C289)</x:f>
        <x:v>0</x:v>
      </x:c>
      <x:c r="M289" t="n">
        <x:f>COUNTIFS(Grunnspill!$A:$A,Annex!D289)</x:f>
        <x:v>0</x:v>
      </x:c>
      <x:c r="N289" t="n">
        <x:f>COUNTIFS(Grunnspill!$A:$A,Annex!E289)</x:f>
        <x:v>0</x:v>
      </x:c>
      <x:c r="O289" t="n">
        <x:f>COUNTIFS(Grunnspill!$A:$A,Annex!F289)</x:f>
        <x:v>0</x:v>
      </x:c>
      <x:c r="P289" t="n">
        <x:f>COUNTIFS(Grunnspill!$A:$A,Annex!G289)</x:f>
        <x:v>0</x:v>
      </x:c>
      <x:c r="Q289" t="n">
        <x:f>COUNTIFS(Grunnspill!$A:$A,Annex!H289)</x:f>
        <x:v>0</x:v>
      </x:c>
      <x:c r="R289" t="n">
        <x:f>COUNTIFS(Grunnspill!$A:$A,Annex!I289)</x:f>
        <x:v>0</x:v>
      </x:c>
    </x:row>
    <x:row r="290">
      <x:c r="A290">
        <x:v>287</x:v>
      </x:c>
      <x:c r="B290" s="1" t="s">
        <x:v>115</x:v>
      </x:c>
      <x:c r="C290" s="1" t="s">
        <x:v>112</x:v>
      </x:c>
      <x:c r="D290" s="1" t="s">
        <x:v>124</x:v>
      </x:c>
      <x:c r="E290" s="1" t="s">
        <x:v>125</x:v>
      </x:c>
      <x:c r="F290" s="1" t="s">
        <x:v>113</x:v>
      </x:c>
      <x:c r="G290" s="1" t="s">
        <x:v>114</x:v>
      </x:c>
      <x:c r="H290" s="1" t="s">
        <x:v>117</x:v>
      </x:c>
      <x:c r="I290" s="1" t="s">
        <x:v>118</x:v>
      </x:c>
      <x:c r="J290">
        <x:f t="shared" si="6"/>
        <x:v>0</x:v>
      </x:c>
      <x:c r="K290" t="n">
        <x:f>COUNTIFS(Grunnspill!$A:$A,Annex!B290)</x:f>
        <x:v>0</x:v>
      </x:c>
      <x:c r="L290" t="n">
        <x:f>COUNTIFS(Grunnspill!$A:$A,Annex!C290)</x:f>
        <x:v>0</x:v>
      </x:c>
      <x:c r="M290" t="n">
        <x:f>COUNTIFS(Grunnspill!$A:$A,Annex!D290)</x:f>
        <x:v>0</x:v>
      </x:c>
      <x:c r="N290" t="n">
        <x:f>COUNTIFS(Grunnspill!$A:$A,Annex!E290)</x:f>
        <x:v>0</x:v>
      </x:c>
      <x:c r="O290" t="n">
        <x:f>COUNTIFS(Grunnspill!$A:$A,Annex!F290)</x:f>
        <x:v>0</x:v>
      </x:c>
      <x:c r="P290" t="n">
        <x:f>COUNTIFS(Grunnspill!$A:$A,Annex!G290)</x:f>
        <x:v>0</x:v>
      </x:c>
      <x:c r="Q290" t="n">
        <x:f>COUNTIFS(Grunnspill!$A:$A,Annex!H290)</x:f>
        <x:v>0</x:v>
      </x:c>
      <x:c r="R290" t="n">
        <x:f>COUNTIFS(Grunnspill!$A:$A,Annex!I290)</x:f>
        <x:v>0</x:v>
      </x:c>
    </x:row>
    <x:row r="291">
      <x:c r="A291">
        <x:v>288</x:v>
      </x:c>
      <x:c r="B291" s="1" t="s">
        <x:v>113</x:v>
      </x:c>
      <x:c r="C291" s="1" t="s">
        <x:v>112</x:v>
      </x:c>
      <x:c r="D291" s="1" t="s">
        <x:v>124</x:v>
      </x:c>
      <x:c r="E291" s="1" t="s">
        <x:v>114</x:v>
      </x:c>
      <x:c r="F291" s="1" t="s">
        <x:v>125</x:v>
      </x:c>
      <x:c r="G291" s="1" t="s">
        <x:v>116</x:v>
      </x:c>
      <x:c r="H291" s="1" t="s">
        <x:v>117</x:v>
      </x:c>
      <x:c r="I291" s="1" t="s">
        <x:v>118</x:v>
      </x:c>
      <x:c r="J291">
        <x:f t="shared" si="6"/>
        <x:v>0</x:v>
      </x:c>
      <x:c r="K291" t="n">
        <x:f>COUNTIFS(Grunnspill!$A:$A,Annex!B291)</x:f>
        <x:v>0</x:v>
      </x:c>
      <x:c r="L291" t="n">
        <x:f>COUNTIFS(Grunnspill!$A:$A,Annex!C291)</x:f>
        <x:v>0</x:v>
      </x:c>
      <x:c r="M291" t="n">
        <x:f>COUNTIFS(Grunnspill!$A:$A,Annex!D291)</x:f>
        <x:v>0</x:v>
      </x:c>
      <x:c r="N291" t="n">
        <x:f>COUNTIFS(Grunnspill!$A:$A,Annex!E291)</x:f>
        <x:v>0</x:v>
      </x:c>
      <x:c r="O291" t="n">
        <x:f>COUNTIFS(Grunnspill!$A:$A,Annex!F291)</x:f>
        <x:v>0</x:v>
      </x:c>
      <x:c r="P291" t="n">
        <x:f>COUNTIFS(Grunnspill!$A:$A,Annex!G291)</x:f>
        <x:v>0</x:v>
      </x:c>
      <x:c r="Q291" t="n">
        <x:f>COUNTIFS(Grunnspill!$A:$A,Annex!H291)</x:f>
        <x:v>0</x:v>
      </x:c>
      <x:c r="R291" t="n">
        <x:f>COUNTIFS(Grunnspill!$A:$A,Annex!I291)</x:f>
        <x:v>0</x:v>
      </x:c>
    </x:row>
    <x:row r="292">
      <x:c r="A292">
        <x:v>289</x:v>
      </x:c>
      <x:c r="B292" s="1" t="s">
        <x:v>115</x:v>
      </x:c>
      <x:c r="C292" s="1" t="s">
        <x:v>112</x:v>
      </x:c>
      <x:c r="D292" s="1" t="s">
        <x:v>124</x:v>
      </x:c>
      <x:c r="E292" s="1" t="s">
        <x:v>114</x:v>
      </x:c>
      <x:c r="F292" s="1" t="s">
        <x:v>125</x:v>
      </x:c>
      <x:c r="G292" s="1" t="s">
        <x:v>116</x:v>
      </x:c>
      <x:c r="H292" s="1" t="s">
        <x:v>117</x:v>
      </x:c>
      <x:c r="I292" s="1" t="s">
        <x:v>118</x:v>
      </x:c>
      <x:c r="J292">
        <x:f t="shared" si="6"/>
        <x:v>0</x:v>
      </x:c>
      <x:c r="K292" t="n">
        <x:f>COUNTIFS(Grunnspill!$A:$A,Annex!B292)</x:f>
        <x:v>0</x:v>
      </x:c>
      <x:c r="L292" t="n">
        <x:f>COUNTIFS(Grunnspill!$A:$A,Annex!C292)</x:f>
        <x:v>0</x:v>
      </x:c>
      <x:c r="M292" t="n">
        <x:f>COUNTIFS(Grunnspill!$A:$A,Annex!D292)</x:f>
        <x:v>0</x:v>
      </x:c>
      <x:c r="N292" t="n">
        <x:f>COUNTIFS(Grunnspill!$A:$A,Annex!E292)</x:f>
        <x:v>0</x:v>
      </x:c>
      <x:c r="O292" t="n">
        <x:f>COUNTIFS(Grunnspill!$A:$A,Annex!F292)</x:f>
        <x:v>0</x:v>
      </x:c>
      <x:c r="P292" t="n">
        <x:f>COUNTIFS(Grunnspill!$A:$A,Annex!G292)</x:f>
        <x:v>0</x:v>
      </x:c>
      <x:c r="Q292" t="n">
        <x:f>COUNTIFS(Grunnspill!$A:$A,Annex!H292)</x:f>
        <x:v>0</x:v>
      </x:c>
      <x:c r="R292" t="n">
        <x:f>COUNTIFS(Grunnspill!$A:$A,Annex!I292)</x:f>
        <x:v>0</x:v>
      </x:c>
    </x:row>
    <x:row r="293">
      <x:c r="A293">
        <x:v>290</x:v>
      </x:c>
      <x:c r="B293" s="1" t="s">
        <x:v>115</x:v>
      </x:c>
      <x:c r="C293" s="1" t="s">
        <x:v>116</x:v>
      </x:c>
      <x:c r="D293" s="1" t="s">
        <x:v>124</x:v>
      </x:c>
      <x:c r="E293" s="1" t="s">
        <x:v>125</x:v>
      </x:c>
      <x:c r="F293" s="1" t="s">
        <x:v>113</x:v>
      </x:c>
      <x:c r="G293" s="1" t="s">
        <x:v>114</x:v>
      </x:c>
      <x:c r="H293" s="1" t="s">
        <x:v>117</x:v>
      </x:c>
      <x:c r="I293" s="1" t="s">
        <x:v>118</x:v>
      </x:c>
      <x:c r="J293">
        <x:f t="shared" si="6"/>
        <x:v>0</x:v>
      </x:c>
      <x:c r="K293" t="n">
        <x:f>COUNTIFS(Grunnspill!$A:$A,Annex!B293)</x:f>
        <x:v>0</x:v>
      </x:c>
      <x:c r="L293" t="n">
        <x:f>COUNTIFS(Grunnspill!$A:$A,Annex!C293)</x:f>
        <x:v>0</x:v>
      </x:c>
      <x:c r="M293" t="n">
        <x:f>COUNTIFS(Grunnspill!$A:$A,Annex!D293)</x:f>
        <x:v>0</x:v>
      </x:c>
      <x:c r="N293" t="n">
        <x:f>COUNTIFS(Grunnspill!$A:$A,Annex!E293)</x:f>
        <x:v>0</x:v>
      </x:c>
      <x:c r="O293" t="n">
        <x:f>COUNTIFS(Grunnspill!$A:$A,Annex!F293)</x:f>
        <x:v>0</x:v>
      </x:c>
      <x:c r="P293" t="n">
        <x:f>COUNTIFS(Grunnspill!$A:$A,Annex!G293)</x:f>
        <x:v>0</x:v>
      </x:c>
      <x:c r="Q293" t="n">
        <x:f>COUNTIFS(Grunnspill!$A:$A,Annex!H293)</x:f>
        <x:v>0</x:v>
      </x:c>
      <x:c r="R293" t="n">
        <x:f>COUNTIFS(Grunnspill!$A:$A,Annex!I293)</x:f>
        <x:v>0</x:v>
      </x:c>
    </x:row>
    <x:row r="294">
      <x:c r="A294">
        <x:v>291</x:v>
      </x:c>
      <x:c r="B294" s="1" t="s">
        <x:v>115</x:v>
      </x:c>
      <x:c r="C294" s="1" t="s">
        <x:v>112</x:v>
      </x:c>
      <x:c r="D294" s="1" t="s">
        <x:v>124</x:v>
      </x:c>
      <x:c r="E294" s="1" t="s">
        <x:v>114</x:v>
      </x:c>
      <x:c r="F294" s="1" t="s">
        <x:v>125</x:v>
      </x:c>
      <x:c r="G294" s="1" t="s">
        <x:v>116</x:v>
      </x:c>
      <x:c r="H294" s="1" t="s">
        <x:v>117</x:v>
      </x:c>
      <x:c r="I294" s="1" t="s">
        <x:v>113</x:v>
      </x:c>
      <x:c r="J294">
        <x:f t="shared" si="6"/>
        <x:v>0</x:v>
      </x:c>
      <x:c r="K294" t="n">
        <x:f>COUNTIFS(Grunnspill!$A:$A,Annex!B294)</x:f>
        <x:v>0</x:v>
      </x:c>
      <x:c r="L294" t="n">
        <x:f>COUNTIFS(Grunnspill!$A:$A,Annex!C294)</x:f>
        <x:v>0</x:v>
      </x:c>
      <x:c r="M294" t="n">
        <x:f>COUNTIFS(Grunnspill!$A:$A,Annex!D294)</x:f>
        <x:v>0</x:v>
      </x:c>
      <x:c r="N294" t="n">
        <x:f>COUNTIFS(Grunnspill!$A:$A,Annex!E294)</x:f>
        <x:v>0</x:v>
      </x:c>
      <x:c r="O294" t="n">
        <x:f>COUNTIFS(Grunnspill!$A:$A,Annex!F294)</x:f>
        <x:v>0</x:v>
      </x:c>
      <x:c r="P294" t="n">
        <x:f>COUNTIFS(Grunnspill!$A:$A,Annex!G294)</x:f>
        <x:v>0</x:v>
      </x:c>
      <x:c r="Q294" t="n">
        <x:f>COUNTIFS(Grunnspill!$A:$A,Annex!H294)</x:f>
        <x:v>0</x:v>
      </x:c>
      <x:c r="R294" t="n">
        <x:f>COUNTIFS(Grunnspill!$A:$A,Annex!I294)</x:f>
        <x:v>0</x:v>
      </x:c>
    </x:row>
    <x:row r="295">
      <x:c r="A295">
        <x:v>292</x:v>
      </x:c>
      <x:c r="B295" s="1" t="s">
        <x:v>115</x:v>
      </x:c>
      <x:c r="C295" s="1" t="s">
        <x:v>112</x:v>
      </x:c>
      <x:c r="D295" s="1" t="s">
        <x:v>124</x:v>
      </x:c>
      <x:c r="E295" s="1" t="s">
        <x:v>114</x:v>
      </x:c>
      <x:c r="F295" s="1" t="s">
        <x:v>125</x:v>
      </x:c>
      <x:c r="G295" s="1" t="s">
        <x:v>116</x:v>
      </x:c>
      <x:c r="H295" s="1" t="s">
        <x:v>113</x:v>
      </x:c>
      <x:c r="I295" s="1" t="s">
        <x:v>118</x:v>
      </x:c>
      <x:c r="J295">
        <x:f t="shared" si="6"/>
        <x:v>0</x:v>
      </x:c>
      <x:c r="K295" t="n">
        <x:f>COUNTIFS(Grunnspill!$A:$A,Annex!B295)</x:f>
        <x:v>0</x:v>
      </x:c>
      <x:c r="L295" t="n">
        <x:f>COUNTIFS(Grunnspill!$A:$A,Annex!C295)</x:f>
        <x:v>0</x:v>
      </x:c>
      <x:c r="M295" t="n">
        <x:f>COUNTIFS(Grunnspill!$A:$A,Annex!D295)</x:f>
        <x:v>0</x:v>
      </x:c>
      <x:c r="N295" t="n">
        <x:f>COUNTIFS(Grunnspill!$A:$A,Annex!E295)</x:f>
        <x:v>0</x:v>
      </x:c>
      <x:c r="O295" t="n">
        <x:f>COUNTIFS(Grunnspill!$A:$A,Annex!F295)</x:f>
        <x:v>0</x:v>
      </x:c>
      <x:c r="P295" t="n">
        <x:f>COUNTIFS(Grunnspill!$A:$A,Annex!G295)</x:f>
        <x:v>0</x:v>
      </x:c>
      <x:c r="Q295" t="n">
        <x:f>COUNTIFS(Grunnspill!$A:$A,Annex!H295)</x:f>
        <x:v>0</x:v>
      </x:c>
      <x:c r="R295" t="n">
        <x:f>COUNTIFS(Grunnspill!$A:$A,Annex!I295)</x:f>
        <x:v>0</x:v>
      </x:c>
    </x:row>
    <x:row r="296">
      <x:c r="A296">
        <x:v>293</x:v>
      </x:c>
      <x:c r="B296" s="1" t="s">
        <x:v>111</x:v>
      </x:c>
      <x:c r="C296" s="1" t="s">
        <x:v>112</x:v>
      </x:c>
      <x:c r="D296" s="1" t="s">
        <x:v>124</x:v>
      </x:c>
      <x:c r="E296" s="1" t="s">
        <x:v>125</x:v>
      </x:c>
      <x:c r="F296" s="1" t="s">
        <x:v>113</x:v>
      </x:c>
      <x:c r="G296" s="1" t="s">
        <x:v>115</x:v>
      </x:c>
      <x:c r="H296" s="1" t="s">
        <x:v>117</x:v>
      </x:c>
      <x:c r="I296" s="1" t="s">
        <x:v>118</x:v>
      </x:c>
      <x:c r="J296">
        <x:f t="shared" si="6"/>
        <x:v>0</x:v>
      </x:c>
      <x:c r="K296" t="n">
        <x:f>COUNTIFS(Grunnspill!$A:$A,Annex!B296)</x:f>
        <x:v>0</x:v>
      </x:c>
      <x:c r="L296" t="n">
        <x:f>COUNTIFS(Grunnspill!$A:$A,Annex!C296)</x:f>
        <x:v>0</x:v>
      </x:c>
      <x:c r="M296" t="n">
        <x:f>COUNTIFS(Grunnspill!$A:$A,Annex!D296)</x:f>
        <x:v>0</x:v>
      </x:c>
      <x:c r="N296" t="n">
        <x:f>COUNTIFS(Grunnspill!$A:$A,Annex!E296)</x:f>
        <x:v>0</x:v>
      </x:c>
      <x:c r="O296" t="n">
        <x:f>COUNTIFS(Grunnspill!$A:$A,Annex!F296)</x:f>
        <x:v>0</x:v>
      </x:c>
      <x:c r="P296" t="n">
        <x:f>COUNTIFS(Grunnspill!$A:$A,Annex!G296)</x:f>
        <x:v>0</x:v>
      </x:c>
      <x:c r="Q296" t="n">
        <x:f>COUNTIFS(Grunnspill!$A:$A,Annex!H296)</x:f>
        <x:v>0</x:v>
      </x:c>
      <x:c r="R296" t="n">
        <x:f>COUNTIFS(Grunnspill!$A:$A,Annex!I296)</x:f>
        <x:v>0</x:v>
      </x:c>
    </x:row>
    <x:row r="297">
      <x:c r="A297">
        <x:v>294</x:v>
      </x:c>
      <x:c r="B297" s="1" t="s">
        <x:v>111</x:v>
      </x:c>
      <x:c r="C297" s="1" t="s">
        <x:v>112</x:v>
      </x:c>
      <x:c r="D297" s="1" t="s">
        <x:v>124</x:v>
      </x:c>
      <x:c r="E297" s="1" t="s">
        <x:v>125</x:v>
      </x:c>
      <x:c r="F297" s="1" t="s">
        <x:v>113</x:v>
      </x:c>
      <x:c r="G297" s="1" t="s">
        <x:v>116</x:v>
      </x:c>
      <x:c r="H297" s="1" t="s">
        <x:v>117</x:v>
      </x:c>
      <x:c r="I297" s="1" t="s">
        <x:v>118</x:v>
      </x:c>
      <x:c r="J297">
        <x:f t="shared" si="6"/>
        <x:v>0</x:v>
      </x:c>
      <x:c r="K297" t="n">
        <x:f>COUNTIFS(Grunnspill!$A:$A,Annex!B297)</x:f>
        <x:v>0</x:v>
      </x:c>
      <x:c r="L297" t="n">
        <x:f>COUNTIFS(Grunnspill!$A:$A,Annex!C297)</x:f>
        <x:v>0</x:v>
      </x:c>
      <x:c r="M297" t="n">
        <x:f>COUNTIFS(Grunnspill!$A:$A,Annex!D297)</x:f>
        <x:v>0</x:v>
      </x:c>
      <x:c r="N297" t="n">
        <x:f>COUNTIFS(Grunnspill!$A:$A,Annex!E297)</x:f>
        <x:v>0</x:v>
      </x:c>
      <x:c r="O297" t="n">
        <x:f>COUNTIFS(Grunnspill!$A:$A,Annex!F297)</x:f>
        <x:v>0</x:v>
      </x:c>
      <x:c r="P297" t="n">
        <x:f>COUNTIFS(Grunnspill!$A:$A,Annex!G297)</x:f>
        <x:v>0</x:v>
      </x:c>
      <x:c r="Q297" t="n">
        <x:f>COUNTIFS(Grunnspill!$A:$A,Annex!H297)</x:f>
        <x:v>0</x:v>
      </x:c>
      <x:c r="R297" t="n">
        <x:f>COUNTIFS(Grunnspill!$A:$A,Annex!I297)</x:f>
        <x:v>0</x:v>
      </x:c>
    </x:row>
    <x:row r="298">
      <x:c r="A298">
        <x:v>295</x:v>
      </x:c>
      <x:c r="B298" s="1" t="s">
        <x:v>111</x:v>
      </x:c>
      <x:c r="C298" s="1" t="s">
        <x:v>112</x:v>
      </x:c>
      <x:c r="D298" s="1" t="s">
        <x:v>124</x:v>
      </x:c>
      <x:c r="E298" s="1" t="s">
        <x:v>125</x:v>
      </x:c>
      <x:c r="F298" s="1" t="s">
        <x:v>115</x:v>
      </x:c>
      <x:c r="G298" s="1" t="s">
        <x:v>116</x:v>
      </x:c>
      <x:c r="H298" s="1" t="s">
        <x:v>117</x:v>
      </x:c>
      <x:c r="I298" s="1" t="s">
        <x:v>118</x:v>
      </x:c>
      <x:c r="J298">
        <x:f t="shared" si="6"/>
        <x:v>0</x:v>
      </x:c>
      <x:c r="K298" t="n">
        <x:f>COUNTIFS(Grunnspill!$A:$A,Annex!B298)</x:f>
        <x:v>0</x:v>
      </x:c>
      <x:c r="L298" t="n">
        <x:f>COUNTIFS(Grunnspill!$A:$A,Annex!C298)</x:f>
        <x:v>0</x:v>
      </x:c>
      <x:c r="M298" t="n">
        <x:f>COUNTIFS(Grunnspill!$A:$A,Annex!D298)</x:f>
        <x:v>0</x:v>
      </x:c>
      <x:c r="N298" t="n">
        <x:f>COUNTIFS(Grunnspill!$A:$A,Annex!E298)</x:f>
        <x:v>0</x:v>
      </x:c>
      <x:c r="O298" t="n">
        <x:f>COUNTIFS(Grunnspill!$A:$A,Annex!F298)</x:f>
        <x:v>0</x:v>
      </x:c>
      <x:c r="P298" t="n">
        <x:f>COUNTIFS(Grunnspill!$A:$A,Annex!G298)</x:f>
        <x:v>0</x:v>
      </x:c>
      <x:c r="Q298" t="n">
        <x:f>COUNTIFS(Grunnspill!$A:$A,Annex!H298)</x:f>
        <x:v>0</x:v>
      </x:c>
      <x:c r="R298" t="n">
        <x:f>COUNTIFS(Grunnspill!$A:$A,Annex!I298)</x:f>
        <x:v>0</x:v>
      </x:c>
    </x:row>
    <x:row r="299">
      <x:c r="A299">
        <x:v>296</x:v>
      </x:c>
      <x:c r="B299" s="1" t="s">
        <x:v>111</x:v>
      </x:c>
      <x:c r="C299" s="1" t="s">
        <x:v>116</x:v>
      </x:c>
      <x:c r="D299" s="1" t="s">
        <x:v>124</x:v>
      </x:c>
      <x:c r="E299" s="1" t="s">
        <x:v>125</x:v>
      </x:c>
      <x:c r="F299" s="1" t="s">
        <x:v>113</x:v>
      </x:c>
      <x:c r="G299" s="1" t="s">
        <x:v>115</x:v>
      </x:c>
      <x:c r="H299" s="1" t="s">
        <x:v>117</x:v>
      </x:c>
      <x:c r="I299" s="1" t="s">
        <x:v>118</x:v>
      </x:c>
      <x:c r="J299">
        <x:f t="shared" si="6"/>
        <x:v>0</x:v>
      </x:c>
      <x:c r="K299" t="n">
        <x:f>COUNTIFS(Grunnspill!$A:$A,Annex!B299)</x:f>
        <x:v>0</x:v>
      </x:c>
      <x:c r="L299" t="n">
        <x:f>COUNTIFS(Grunnspill!$A:$A,Annex!C299)</x:f>
        <x:v>0</x:v>
      </x:c>
      <x:c r="M299" t="n">
        <x:f>COUNTIFS(Grunnspill!$A:$A,Annex!D299)</x:f>
        <x:v>0</x:v>
      </x:c>
      <x:c r="N299" t="n">
        <x:f>COUNTIFS(Grunnspill!$A:$A,Annex!E299)</x:f>
        <x:v>0</x:v>
      </x:c>
      <x:c r="O299" t="n">
        <x:f>COUNTIFS(Grunnspill!$A:$A,Annex!F299)</x:f>
        <x:v>0</x:v>
      </x:c>
      <x:c r="P299" t="n">
        <x:f>COUNTIFS(Grunnspill!$A:$A,Annex!G299)</x:f>
        <x:v>0</x:v>
      </x:c>
      <x:c r="Q299" t="n">
        <x:f>COUNTIFS(Grunnspill!$A:$A,Annex!H299)</x:f>
        <x:v>0</x:v>
      </x:c>
      <x:c r="R299" t="n">
        <x:f>COUNTIFS(Grunnspill!$A:$A,Annex!I299)</x:f>
        <x:v>0</x:v>
      </x:c>
    </x:row>
    <x:row r="300">
      <x:c r="A300">
        <x:v>297</x:v>
      </x:c>
      <x:c r="B300" s="1" t="s">
        <x:v>111</x:v>
      </x:c>
      <x:c r="C300" s="1" t="s">
        <x:v>112</x:v>
      </x:c>
      <x:c r="D300" s="1" t="s">
        <x:v>124</x:v>
      </x:c>
      <x:c r="E300" s="1" t="s">
        <x:v>125</x:v>
      </x:c>
      <x:c r="F300" s="1" t="s">
        <x:v>115</x:v>
      </x:c>
      <x:c r="G300" s="1" t="s">
        <x:v>116</x:v>
      </x:c>
      <x:c r="H300" s="1" t="s">
        <x:v>117</x:v>
      </x:c>
      <x:c r="I300" s="1" t="s">
        <x:v>113</x:v>
      </x:c>
      <x:c r="J300">
        <x:f t="shared" si="6"/>
        <x:v>0</x:v>
      </x:c>
      <x:c r="K300" t="n">
        <x:f>COUNTIFS(Grunnspill!$A:$A,Annex!B300)</x:f>
        <x:v>0</x:v>
      </x:c>
      <x:c r="L300" t="n">
        <x:f>COUNTIFS(Grunnspill!$A:$A,Annex!C300)</x:f>
        <x:v>0</x:v>
      </x:c>
      <x:c r="M300" t="n">
        <x:f>COUNTIFS(Grunnspill!$A:$A,Annex!D300)</x:f>
        <x:v>0</x:v>
      </x:c>
      <x:c r="N300" t="n">
        <x:f>COUNTIFS(Grunnspill!$A:$A,Annex!E300)</x:f>
        <x:v>0</x:v>
      </x:c>
      <x:c r="O300" t="n">
        <x:f>COUNTIFS(Grunnspill!$A:$A,Annex!F300)</x:f>
        <x:v>0</x:v>
      </x:c>
      <x:c r="P300" t="n">
        <x:f>COUNTIFS(Grunnspill!$A:$A,Annex!G300)</x:f>
        <x:v>0</x:v>
      </x:c>
      <x:c r="Q300" t="n">
        <x:f>COUNTIFS(Grunnspill!$A:$A,Annex!H300)</x:f>
        <x:v>0</x:v>
      </x:c>
      <x:c r="R300" t="n">
        <x:f>COUNTIFS(Grunnspill!$A:$A,Annex!I300)</x:f>
        <x:v>0</x:v>
      </x:c>
    </x:row>
    <x:row r="301">
      <x:c r="A301">
        <x:v>298</x:v>
      </x:c>
      <x:c r="B301" s="1" t="s">
        <x:v>111</x:v>
      </x:c>
      <x:c r="C301" s="1" t="s">
        <x:v>112</x:v>
      </x:c>
      <x:c r="D301" s="1" t="s">
        <x:v>124</x:v>
      </x:c>
      <x:c r="E301" s="1" t="s">
        <x:v>125</x:v>
      </x:c>
      <x:c r="F301" s="1" t="s">
        <x:v>115</x:v>
      </x:c>
      <x:c r="G301" s="1" t="s">
        <x:v>116</x:v>
      </x:c>
      <x:c r="H301" s="1" t="s">
        <x:v>113</x:v>
      </x:c>
      <x:c r="I301" s="1" t="s">
        <x:v>118</x:v>
      </x:c>
      <x:c r="J301">
        <x:f t="shared" si="6"/>
        <x:v>0</x:v>
      </x:c>
      <x:c r="K301" t="n">
        <x:f>COUNTIFS(Grunnspill!$A:$A,Annex!B301)</x:f>
        <x:v>0</x:v>
      </x:c>
      <x:c r="L301" t="n">
        <x:f>COUNTIFS(Grunnspill!$A:$A,Annex!C301)</x:f>
        <x:v>0</x:v>
      </x:c>
      <x:c r="M301" t="n">
        <x:f>COUNTIFS(Grunnspill!$A:$A,Annex!D301)</x:f>
        <x:v>0</x:v>
      </x:c>
      <x:c r="N301" t="n">
        <x:f>COUNTIFS(Grunnspill!$A:$A,Annex!E301)</x:f>
        <x:v>0</x:v>
      </x:c>
      <x:c r="O301" t="n">
        <x:f>COUNTIFS(Grunnspill!$A:$A,Annex!F301)</x:f>
        <x:v>0</x:v>
      </x:c>
      <x:c r="P301" t="n">
        <x:f>COUNTIFS(Grunnspill!$A:$A,Annex!G301)</x:f>
        <x:v>0</x:v>
      </x:c>
      <x:c r="Q301" t="n">
        <x:f>COUNTIFS(Grunnspill!$A:$A,Annex!H301)</x:f>
        <x:v>0</x:v>
      </x:c>
      <x:c r="R301" t="n">
        <x:f>COUNTIFS(Grunnspill!$A:$A,Annex!I301)</x:f>
        <x:v>0</x:v>
      </x:c>
    </x:row>
    <x:row r="302">
      <x:c r="A302">
        <x:v>299</x:v>
      </x:c>
      <x:c r="B302" s="1" t="s">
        <x:v>111</x:v>
      </x:c>
      <x:c r="C302" s="1" t="s">
        <x:v>112</x:v>
      </x:c>
      <x:c r="D302" s="1" t="s">
        <x:v>124</x:v>
      </x:c>
      <x:c r="E302" s="1" t="s">
        <x:v>125</x:v>
      </x:c>
      <x:c r="F302" s="1" t="s">
        <x:v>113</x:v>
      </x:c>
      <x:c r="G302" s="1" t="s">
        <x:v>114</x:v>
      </x:c>
      <x:c r="H302" s="1" t="s">
        <x:v>117</x:v>
      </x:c>
      <x:c r="I302" s="1" t="s">
        <x:v>118</x:v>
      </x:c>
      <x:c r="J302">
        <x:f t="shared" si="6"/>
        <x:v>0</x:v>
      </x:c>
      <x:c r="K302" t="n">
        <x:f>COUNTIFS(Grunnspill!$A:$A,Annex!B302)</x:f>
        <x:v>0</x:v>
      </x:c>
      <x:c r="L302" t="n">
        <x:f>COUNTIFS(Grunnspill!$A:$A,Annex!C302)</x:f>
        <x:v>0</x:v>
      </x:c>
      <x:c r="M302" t="n">
        <x:f>COUNTIFS(Grunnspill!$A:$A,Annex!D302)</x:f>
        <x:v>0</x:v>
      </x:c>
      <x:c r="N302" t="n">
        <x:f>COUNTIFS(Grunnspill!$A:$A,Annex!E302)</x:f>
        <x:v>0</x:v>
      </x:c>
      <x:c r="O302" t="n">
        <x:f>COUNTIFS(Grunnspill!$A:$A,Annex!F302)</x:f>
        <x:v>0</x:v>
      </x:c>
      <x:c r="P302" t="n">
        <x:f>COUNTIFS(Grunnspill!$A:$A,Annex!G302)</x:f>
        <x:v>0</x:v>
      </x:c>
      <x:c r="Q302" t="n">
        <x:f>COUNTIFS(Grunnspill!$A:$A,Annex!H302)</x:f>
        <x:v>0</x:v>
      </x:c>
      <x:c r="R302" t="n">
        <x:f>COUNTIFS(Grunnspill!$A:$A,Annex!I302)</x:f>
        <x:v>0</x:v>
      </x:c>
    </x:row>
    <x:row r="303">
      <x:c r="A303">
        <x:v>300</x:v>
      </x:c>
      <x:c r="B303" s="1" t="s">
        <x:v>111</x:v>
      </x:c>
      <x:c r="C303" s="1" t="s">
        <x:v>112</x:v>
      </x:c>
      <x:c r="D303" s="1" t="s">
        <x:v>124</x:v>
      </x:c>
      <x:c r="E303" s="1" t="s">
        <x:v>114</x:v>
      </x:c>
      <x:c r="F303" s="1" t="s">
        <x:v>125</x:v>
      </x:c>
      <x:c r="G303" s="1" t="s">
        <x:v>115</x:v>
      </x:c>
      <x:c r="H303" s="1" t="s">
        <x:v>117</x:v>
      </x:c>
      <x:c r="I303" s="1" t="s">
        <x:v>118</x:v>
      </x:c>
      <x:c r="J303">
        <x:f t="shared" si="6"/>
        <x:v>0</x:v>
      </x:c>
      <x:c r="K303" t="n">
        <x:f>COUNTIFS(Grunnspill!$A:$A,Annex!B303)</x:f>
        <x:v>0</x:v>
      </x:c>
      <x:c r="L303" t="n">
        <x:f>COUNTIFS(Grunnspill!$A:$A,Annex!C303)</x:f>
        <x:v>0</x:v>
      </x:c>
      <x:c r="M303" t="n">
        <x:f>COUNTIFS(Grunnspill!$A:$A,Annex!D303)</x:f>
        <x:v>0</x:v>
      </x:c>
      <x:c r="N303" t="n">
        <x:f>COUNTIFS(Grunnspill!$A:$A,Annex!E303)</x:f>
        <x:v>0</x:v>
      </x:c>
      <x:c r="O303" t="n">
        <x:f>COUNTIFS(Grunnspill!$A:$A,Annex!F303)</x:f>
        <x:v>0</x:v>
      </x:c>
      <x:c r="P303" t="n">
        <x:f>COUNTIFS(Grunnspill!$A:$A,Annex!G303)</x:f>
        <x:v>0</x:v>
      </x:c>
      <x:c r="Q303" t="n">
        <x:f>COUNTIFS(Grunnspill!$A:$A,Annex!H303)</x:f>
        <x:v>0</x:v>
      </x:c>
      <x:c r="R303" t="n">
        <x:f>COUNTIFS(Grunnspill!$A:$A,Annex!I303)</x:f>
        <x:v>0</x:v>
      </x:c>
    </x:row>
    <x:row r="304">
      <x:c r="A304">
        <x:v>301</x:v>
      </x:c>
      <x:c r="B304" s="1" t="s">
        <x:v>111</x:v>
      </x:c>
      <x:c r="C304" s="1" t="s">
        <x:v>113</x:v>
      </x:c>
      <x:c r="D304" s="1" t="s">
        <x:v>124</x:v>
      </x:c>
      <x:c r="E304" s="1" t="s">
        <x:v>114</x:v>
      </x:c>
      <x:c r="F304" s="1" t="s">
        <x:v>125</x:v>
      </x:c>
      <x:c r="G304" s="1" t="s">
        <x:v>115</x:v>
      </x:c>
      <x:c r="H304" s="1" t="s">
        <x:v>117</x:v>
      </x:c>
      <x:c r="I304" s="1" t="s">
        <x:v>118</x:v>
      </x:c>
      <x:c r="J304">
        <x:f t="shared" si="6"/>
        <x:v>0</x:v>
      </x:c>
      <x:c r="K304" t="n">
        <x:f>COUNTIFS(Grunnspill!$A:$A,Annex!B304)</x:f>
        <x:v>0</x:v>
      </x:c>
      <x:c r="L304" t="n">
        <x:f>COUNTIFS(Grunnspill!$A:$A,Annex!C304)</x:f>
        <x:v>0</x:v>
      </x:c>
      <x:c r="M304" t="n">
        <x:f>COUNTIFS(Grunnspill!$A:$A,Annex!D304)</x:f>
        <x:v>0</x:v>
      </x:c>
      <x:c r="N304" t="n">
        <x:f>COUNTIFS(Grunnspill!$A:$A,Annex!E304)</x:f>
        <x:v>0</x:v>
      </x:c>
      <x:c r="O304" t="n">
        <x:f>COUNTIFS(Grunnspill!$A:$A,Annex!F304)</x:f>
        <x:v>0</x:v>
      </x:c>
      <x:c r="P304" t="n">
        <x:f>COUNTIFS(Grunnspill!$A:$A,Annex!G304)</x:f>
        <x:v>0</x:v>
      </x:c>
      <x:c r="Q304" t="n">
        <x:f>COUNTIFS(Grunnspill!$A:$A,Annex!H304)</x:f>
        <x:v>0</x:v>
      </x:c>
      <x:c r="R304" t="n">
        <x:f>COUNTIFS(Grunnspill!$A:$A,Annex!I304)</x:f>
        <x:v>0</x:v>
      </x:c>
    </x:row>
    <x:row r="305">
      <x:c r="A305">
        <x:v>302</x:v>
      </x:c>
      <x:c r="B305" s="1" t="s">
        <x:v>111</x:v>
      </x:c>
      <x:c r="C305" s="1" t="s">
        <x:v>112</x:v>
      </x:c>
      <x:c r="D305" s="1" t="s">
        <x:v>124</x:v>
      </x:c>
      <x:c r="E305" s="1" t="s">
        <x:v>114</x:v>
      </x:c>
      <x:c r="F305" s="1" t="s">
        <x:v>125</x:v>
      </x:c>
      <x:c r="G305" s="1" t="s">
        <x:v>115</x:v>
      </x:c>
      <x:c r="H305" s="1" t="s">
        <x:v>117</x:v>
      </x:c>
      <x:c r="I305" s="1" t="s">
        <x:v>113</x:v>
      </x:c>
      <x:c r="J305">
        <x:f t="shared" si="6"/>
        <x:v>0</x:v>
      </x:c>
      <x:c r="K305" t="n">
        <x:f>COUNTIFS(Grunnspill!$A:$A,Annex!B305)</x:f>
        <x:v>0</x:v>
      </x:c>
      <x:c r="L305" t="n">
        <x:f>COUNTIFS(Grunnspill!$A:$A,Annex!C305)</x:f>
        <x:v>0</x:v>
      </x:c>
      <x:c r="M305" t="n">
        <x:f>COUNTIFS(Grunnspill!$A:$A,Annex!D305)</x:f>
        <x:v>0</x:v>
      </x:c>
      <x:c r="N305" t="n">
        <x:f>COUNTIFS(Grunnspill!$A:$A,Annex!E305)</x:f>
        <x:v>0</x:v>
      </x:c>
      <x:c r="O305" t="n">
        <x:f>COUNTIFS(Grunnspill!$A:$A,Annex!F305)</x:f>
        <x:v>0</x:v>
      </x:c>
      <x:c r="P305" t="n">
        <x:f>COUNTIFS(Grunnspill!$A:$A,Annex!G305)</x:f>
        <x:v>0</x:v>
      </x:c>
      <x:c r="Q305" t="n">
        <x:f>COUNTIFS(Grunnspill!$A:$A,Annex!H305)</x:f>
        <x:v>0</x:v>
      </x:c>
      <x:c r="R305" t="n">
        <x:f>COUNTIFS(Grunnspill!$A:$A,Annex!I305)</x:f>
        <x:v>0</x:v>
      </x:c>
    </x:row>
    <x:row r="306">
      <x:c r="A306">
        <x:v>303</x:v>
      </x:c>
      <x:c r="B306" s="1" t="s">
        <x:v>111</x:v>
      </x:c>
      <x:c r="C306" s="1" t="s">
        <x:v>112</x:v>
      </x:c>
      <x:c r="D306" s="1" t="s">
        <x:v>124</x:v>
      </x:c>
      <x:c r="E306" s="1" t="s">
        <x:v>114</x:v>
      </x:c>
      <x:c r="F306" s="1" t="s">
        <x:v>125</x:v>
      </x:c>
      <x:c r="G306" s="1" t="s">
        <x:v>115</x:v>
      </x:c>
      <x:c r="H306" s="1" t="s">
        <x:v>113</x:v>
      </x:c>
      <x:c r="I306" s="1" t="s">
        <x:v>118</x:v>
      </x:c>
      <x:c r="J306">
        <x:f t="shared" si="6"/>
        <x:v>0</x:v>
      </x:c>
      <x:c r="K306" t="n">
        <x:f>COUNTIFS(Grunnspill!$A:$A,Annex!B306)</x:f>
        <x:v>0</x:v>
      </x:c>
      <x:c r="L306" t="n">
        <x:f>COUNTIFS(Grunnspill!$A:$A,Annex!C306)</x:f>
        <x:v>0</x:v>
      </x:c>
      <x:c r="M306" t="n">
        <x:f>COUNTIFS(Grunnspill!$A:$A,Annex!D306)</x:f>
        <x:v>0</x:v>
      </x:c>
      <x:c r="N306" t="n">
        <x:f>COUNTIFS(Grunnspill!$A:$A,Annex!E306)</x:f>
        <x:v>0</x:v>
      </x:c>
      <x:c r="O306" t="n">
        <x:f>COUNTIFS(Grunnspill!$A:$A,Annex!F306)</x:f>
        <x:v>0</x:v>
      </x:c>
      <x:c r="P306" t="n">
        <x:f>COUNTIFS(Grunnspill!$A:$A,Annex!G306)</x:f>
        <x:v>0</x:v>
      </x:c>
      <x:c r="Q306" t="n">
        <x:f>COUNTIFS(Grunnspill!$A:$A,Annex!H306)</x:f>
        <x:v>0</x:v>
      </x:c>
      <x:c r="R306" t="n">
        <x:f>COUNTIFS(Grunnspill!$A:$A,Annex!I306)</x:f>
        <x:v>0</x:v>
      </x:c>
    </x:row>
    <x:row r="307">
      <x:c r="A307">
        <x:v>304</x:v>
      </x:c>
      <x:c r="B307" s="1" t="s">
        <x:v>111</x:v>
      </x:c>
      <x:c r="C307" s="1" t="s">
        <x:v>112</x:v>
      </x:c>
      <x:c r="D307" s="1" t="s">
        <x:v>124</x:v>
      </x:c>
      <x:c r="E307" s="1" t="s">
        <x:v>114</x:v>
      </x:c>
      <x:c r="F307" s="1" t="s">
        <x:v>125</x:v>
      </x:c>
      <x:c r="G307" s="1" t="s">
        <x:v>116</x:v>
      </x:c>
      <x:c r="H307" s="1" t="s">
        <x:v>117</x:v>
      </x:c>
      <x:c r="I307" s="1" t="s">
        <x:v>118</x:v>
      </x:c>
      <x:c r="J307">
        <x:f t="shared" si="6"/>
        <x:v>0</x:v>
      </x:c>
      <x:c r="K307" t="n">
        <x:f>COUNTIFS(Grunnspill!$A:$A,Annex!B307)</x:f>
        <x:v>0</x:v>
      </x:c>
      <x:c r="L307" t="n">
        <x:f>COUNTIFS(Grunnspill!$A:$A,Annex!C307)</x:f>
        <x:v>0</x:v>
      </x:c>
      <x:c r="M307" t="n">
        <x:f>COUNTIFS(Grunnspill!$A:$A,Annex!D307)</x:f>
        <x:v>0</x:v>
      </x:c>
      <x:c r="N307" t="n">
        <x:f>COUNTIFS(Grunnspill!$A:$A,Annex!E307)</x:f>
        <x:v>0</x:v>
      </x:c>
      <x:c r="O307" t="n">
        <x:f>COUNTIFS(Grunnspill!$A:$A,Annex!F307)</x:f>
        <x:v>0</x:v>
      </x:c>
      <x:c r="P307" t="n">
        <x:f>COUNTIFS(Grunnspill!$A:$A,Annex!G307)</x:f>
        <x:v>0</x:v>
      </x:c>
      <x:c r="Q307" t="n">
        <x:f>COUNTIFS(Grunnspill!$A:$A,Annex!H307)</x:f>
        <x:v>0</x:v>
      </x:c>
      <x:c r="R307" t="n">
        <x:f>COUNTIFS(Grunnspill!$A:$A,Annex!I307)</x:f>
        <x:v>0</x:v>
      </x:c>
    </x:row>
    <x:row r="308">
      <x:c r="A308">
        <x:v>305</x:v>
      </x:c>
      <x:c r="B308" s="1" t="s">
        <x:v>111</x:v>
      </x:c>
      <x:c r="C308" s="1" t="s">
        <x:v>116</x:v>
      </x:c>
      <x:c r="D308" s="1" t="s">
        <x:v>124</x:v>
      </x:c>
      <x:c r="E308" s="1" t="s">
        <x:v>125</x:v>
      </x:c>
      <x:c r="F308" s="1" t="s">
        <x:v>113</x:v>
      </x:c>
      <x:c r="G308" s="1" t="s">
        <x:v>114</x:v>
      </x:c>
      <x:c r="H308" s="1" t="s">
        <x:v>117</x:v>
      </x:c>
      <x:c r="I308" s="1" t="s">
        <x:v>118</x:v>
      </x:c>
      <x:c r="J308">
        <x:f t="shared" si="6"/>
        <x:v>0</x:v>
      </x:c>
      <x:c r="K308" t="n">
        <x:f>COUNTIFS(Grunnspill!$A:$A,Annex!B308)</x:f>
        <x:v>0</x:v>
      </x:c>
      <x:c r="L308" t="n">
        <x:f>COUNTIFS(Grunnspill!$A:$A,Annex!C308)</x:f>
        <x:v>0</x:v>
      </x:c>
      <x:c r="M308" t="n">
        <x:f>COUNTIFS(Grunnspill!$A:$A,Annex!D308)</x:f>
        <x:v>0</x:v>
      </x:c>
      <x:c r="N308" t="n">
        <x:f>COUNTIFS(Grunnspill!$A:$A,Annex!E308)</x:f>
        <x:v>0</x:v>
      </x:c>
      <x:c r="O308" t="n">
        <x:f>COUNTIFS(Grunnspill!$A:$A,Annex!F308)</x:f>
        <x:v>0</x:v>
      </x:c>
      <x:c r="P308" t="n">
        <x:f>COUNTIFS(Grunnspill!$A:$A,Annex!G308)</x:f>
        <x:v>0</x:v>
      </x:c>
      <x:c r="Q308" t="n">
        <x:f>COUNTIFS(Grunnspill!$A:$A,Annex!H308)</x:f>
        <x:v>0</x:v>
      </x:c>
      <x:c r="R308" t="n">
        <x:f>COUNTIFS(Grunnspill!$A:$A,Annex!I308)</x:f>
        <x:v>0</x:v>
      </x:c>
    </x:row>
    <x:row r="309">
      <x:c r="A309">
        <x:v>306</x:v>
      </x:c>
      <x:c r="B309" s="1" t="s">
        <x:v>111</x:v>
      </x:c>
      <x:c r="C309" s="1" t="s">
        <x:v>112</x:v>
      </x:c>
      <x:c r="D309" s="1" t="s">
        <x:v>124</x:v>
      </x:c>
      <x:c r="E309" s="1" t="s">
        <x:v>114</x:v>
      </x:c>
      <x:c r="F309" s="1" t="s">
        <x:v>125</x:v>
      </x:c>
      <x:c r="G309" s="1" t="s">
        <x:v>116</x:v>
      </x:c>
      <x:c r="H309" s="1" t="s">
        <x:v>117</x:v>
      </x:c>
      <x:c r="I309" s="1" t="s">
        <x:v>113</x:v>
      </x:c>
      <x:c r="J309">
        <x:f t="shared" si="6"/>
        <x:v>0</x:v>
      </x:c>
      <x:c r="K309" t="n">
        <x:f>COUNTIFS(Grunnspill!$A:$A,Annex!B309)</x:f>
        <x:v>0</x:v>
      </x:c>
      <x:c r="L309" t="n">
        <x:f>COUNTIFS(Grunnspill!$A:$A,Annex!C309)</x:f>
        <x:v>0</x:v>
      </x:c>
      <x:c r="M309" t="n">
        <x:f>COUNTIFS(Grunnspill!$A:$A,Annex!D309)</x:f>
        <x:v>0</x:v>
      </x:c>
      <x:c r="N309" t="n">
        <x:f>COUNTIFS(Grunnspill!$A:$A,Annex!E309)</x:f>
        <x:v>0</x:v>
      </x:c>
      <x:c r="O309" t="n">
        <x:f>COUNTIFS(Grunnspill!$A:$A,Annex!F309)</x:f>
        <x:v>0</x:v>
      </x:c>
      <x:c r="P309" t="n">
        <x:f>COUNTIFS(Grunnspill!$A:$A,Annex!G309)</x:f>
        <x:v>0</x:v>
      </x:c>
      <x:c r="Q309" t="n">
        <x:f>COUNTIFS(Grunnspill!$A:$A,Annex!H309)</x:f>
        <x:v>0</x:v>
      </x:c>
      <x:c r="R309" t="n">
        <x:f>COUNTIFS(Grunnspill!$A:$A,Annex!I309)</x:f>
        <x:v>0</x:v>
      </x:c>
    </x:row>
    <x:row r="310">
      <x:c r="A310">
        <x:v>307</x:v>
      </x:c>
      <x:c r="B310" s="1" t="s">
        <x:v>111</x:v>
      </x:c>
      <x:c r="C310" s="1" t="s">
        <x:v>112</x:v>
      </x:c>
      <x:c r="D310" s="1" t="s">
        <x:v>124</x:v>
      </x:c>
      <x:c r="E310" s="1" t="s">
        <x:v>114</x:v>
      </x:c>
      <x:c r="F310" s="1" t="s">
        <x:v>125</x:v>
      </x:c>
      <x:c r="G310" s="1" t="s">
        <x:v>116</x:v>
      </x:c>
      <x:c r="H310" s="1" t="s">
        <x:v>113</x:v>
      </x:c>
      <x:c r="I310" s="1" t="s">
        <x:v>118</x:v>
      </x:c>
      <x:c r="J310">
        <x:f t="shared" si="6"/>
        <x:v>0</x:v>
      </x:c>
      <x:c r="K310" t="n">
        <x:f>COUNTIFS(Grunnspill!$A:$A,Annex!B310)</x:f>
        <x:v>0</x:v>
      </x:c>
      <x:c r="L310" t="n">
        <x:f>COUNTIFS(Grunnspill!$A:$A,Annex!C310)</x:f>
        <x:v>0</x:v>
      </x:c>
      <x:c r="M310" t="n">
        <x:f>COUNTIFS(Grunnspill!$A:$A,Annex!D310)</x:f>
        <x:v>0</x:v>
      </x:c>
      <x:c r="N310" t="n">
        <x:f>COUNTIFS(Grunnspill!$A:$A,Annex!E310)</x:f>
        <x:v>0</x:v>
      </x:c>
      <x:c r="O310" t="n">
        <x:f>COUNTIFS(Grunnspill!$A:$A,Annex!F310)</x:f>
        <x:v>0</x:v>
      </x:c>
      <x:c r="P310" t="n">
        <x:f>COUNTIFS(Grunnspill!$A:$A,Annex!G310)</x:f>
        <x:v>0</x:v>
      </x:c>
      <x:c r="Q310" t="n">
        <x:f>COUNTIFS(Grunnspill!$A:$A,Annex!H310)</x:f>
        <x:v>0</x:v>
      </x:c>
      <x:c r="R310" t="n">
        <x:f>COUNTIFS(Grunnspill!$A:$A,Annex!I310)</x:f>
        <x:v>0</x:v>
      </x:c>
    </x:row>
    <x:row r="311">
      <x:c r="A311">
        <x:v>308</x:v>
      </x:c>
      <x:c r="B311" s="1" t="s">
        <x:v>111</x:v>
      </x:c>
      <x:c r="C311" s="1" t="s">
        <x:v>116</x:v>
      </x:c>
      <x:c r="D311" s="1" t="s">
        <x:v>124</x:v>
      </x:c>
      <x:c r="E311" s="1" t="s">
        <x:v>114</x:v>
      </x:c>
      <x:c r="F311" s="1" t="s">
        <x:v>125</x:v>
      </x:c>
      <x:c r="G311" s="1" t="s">
        <x:v>115</x:v>
      </x:c>
      <x:c r="H311" s="1" t="s">
        <x:v>117</x:v>
      </x:c>
      <x:c r="I311" s="1" t="s">
        <x:v>118</x:v>
      </x:c>
      <x:c r="J311">
        <x:f t="shared" si="6"/>
        <x:v>0</x:v>
      </x:c>
      <x:c r="K311" t="n">
        <x:f>COUNTIFS(Grunnspill!$A:$A,Annex!B311)</x:f>
        <x:v>0</x:v>
      </x:c>
      <x:c r="L311" t="n">
        <x:f>COUNTIFS(Grunnspill!$A:$A,Annex!C311)</x:f>
        <x:v>0</x:v>
      </x:c>
      <x:c r="M311" t="n">
        <x:f>COUNTIFS(Grunnspill!$A:$A,Annex!D311)</x:f>
        <x:v>0</x:v>
      </x:c>
      <x:c r="N311" t="n">
        <x:f>COUNTIFS(Grunnspill!$A:$A,Annex!E311)</x:f>
        <x:v>0</x:v>
      </x:c>
      <x:c r="O311" t="n">
        <x:f>COUNTIFS(Grunnspill!$A:$A,Annex!F311)</x:f>
        <x:v>0</x:v>
      </x:c>
      <x:c r="P311" t="n">
        <x:f>COUNTIFS(Grunnspill!$A:$A,Annex!G311)</x:f>
        <x:v>0</x:v>
      </x:c>
      <x:c r="Q311" t="n">
        <x:f>COUNTIFS(Grunnspill!$A:$A,Annex!H311)</x:f>
        <x:v>0</x:v>
      </x:c>
      <x:c r="R311" t="n">
        <x:f>COUNTIFS(Grunnspill!$A:$A,Annex!I311)</x:f>
        <x:v>0</x:v>
      </x:c>
    </x:row>
    <x:row r="312">
      <x:c r="A312">
        <x:v>309</x:v>
      </x:c>
      <x:c r="B312" s="1" t="s">
        <x:v>115</x:v>
      </x:c>
      <x:c r="C312" s="1" t="s">
        <x:v>112</x:v>
      </x:c>
      <x:c r="D312" s="1" t="s">
        <x:v>124</x:v>
      </x:c>
      <x:c r="E312" s="1" t="s">
        <x:v>114</x:v>
      </x:c>
      <x:c r="F312" s="1" t="s">
        <x:v>125</x:v>
      </x:c>
      <x:c r="G312" s="1" t="s">
        <x:v>116</x:v>
      </x:c>
      <x:c r="H312" s="1" t="s">
        <x:v>117</x:v>
      </x:c>
      <x:c r="I312" s="1" t="s">
        <x:v>111</x:v>
      </x:c>
      <x:c r="J312">
        <x:f t="shared" si="6"/>
        <x:v>0</x:v>
      </x:c>
      <x:c r="K312" t="n">
        <x:f>COUNTIFS(Grunnspill!$A:$A,Annex!B312)</x:f>
        <x:v>0</x:v>
      </x:c>
      <x:c r="L312" t="n">
        <x:f>COUNTIFS(Grunnspill!$A:$A,Annex!C312)</x:f>
        <x:v>0</x:v>
      </x:c>
      <x:c r="M312" t="n">
        <x:f>COUNTIFS(Grunnspill!$A:$A,Annex!D312)</x:f>
        <x:v>0</x:v>
      </x:c>
      <x:c r="N312" t="n">
        <x:f>COUNTIFS(Grunnspill!$A:$A,Annex!E312)</x:f>
        <x:v>0</x:v>
      </x:c>
      <x:c r="O312" t="n">
        <x:f>COUNTIFS(Grunnspill!$A:$A,Annex!F312)</x:f>
        <x:v>0</x:v>
      </x:c>
      <x:c r="P312" t="n">
        <x:f>COUNTIFS(Grunnspill!$A:$A,Annex!G312)</x:f>
        <x:v>0</x:v>
      </x:c>
      <x:c r="Q312" t="n">
        <x:f>COUNTIFS(Grunnspill!$A:$A,Annex!H312)</x:f>
        <x:v>0</x:v>
      </x:c>
      <x:c r="R312" t="n">
        <x:f>COUNTIFS(Grunnspill!$A:$A,Annex!I312)</x:f>
        <x:v>0</x:v>
      </x:c>
    </x:row>
    <x:row r="313">
      <x:c r="A313">
        <x:v>310</x:v>
      </x:c>
      <x:c r="B313" s="1" t="s">
        <x:v>115</x:v>
      </x:c>
      <x:c r="C313" s="1" t="s">
        <x:v>112</x:v>
      </x:c>
      <x:c r="D313" s="1" t="s">
        <x:v>124</x:v>
      </x:c>
      <x:c r="E313" s="1" t="s">
        <x:v>114</x:v>
      </x:c>
      <x:c r="F313" s="1" t="s">
        <x:v>125</x:v>
      </x:c>
      <x:c r="G313" s="1" t="s">
        <x:v>116</x:v>
      </x:c>
      <x:c r="H313" s="1" t="s">
        <x:v>111</x:v>
      </x:c>
      <x:c r="I313" s="1" t="s">
        <x:v>118</x:v>
      </x:c>
      <x:c r="J313">
        <x:f t="shared" si="6"/>
        <x:v>0</x:v>
      </x:c>
      <x:c r="K313" t="n">
        <x:f>COUNTIFS(Grunnspill!$A:$A,Annex!B313)</x:f>
        <x:v>0</x:v>
      </x:c>
      <x:c r="L313" t="n">
        <x:f>COUNTIFS(Grunnspill!$A:$A,Annex!C313)</x:f>
        <x:v>0</x:v>
      </x:c>
      <x:c r="M313" t="n">
        <x:f>COUNTIFS(Grunnspill!$A:$A,Annex!D313)</x:f>
        <x:v>0</x:v>
      </x:c>
      <x:c r="N313" t="n">
        <x:f>COUNTIFS(Grunnspill!$A:$A,Annex!E313)</x:f>
        <x:v>0</x:v>
      </x:c>
      <x:c r="O313" t="n">
        <x:f>COUNTIFS(Grunnspill!$A:$A,Annex!F313)</x:f>
        <x:v>0</x:v>
      </x:c>
      <x:c r="P313" t="n">
        <x:f>COUNTIFS(Grunnspill!$A:$A,Annex!G313)</x:f>
        <x:v>0</x:v>
      </x:c>
      <x:c r="Q313" t="n">
        <x:f>COUNTIFS(Grunnspill!$A:$A,Annex!H313)</x:f>
        <x:v>0</x:v>
      </x:c>
      <x:c r="R313" t="n">
        <x:f>COUNTIFS(Grunnspill!$A:$A,Annex!I313)</x:f>
        <x:v>0</x:v>
      </x:c>
    </x:row>
    <x:row r="314">
      <x:c r="A314">
        <x:v>311</x:v>
      </x:c>
      <x:c r="B314" s="1" t="s">
        <x:v>111</x:v>
      </x:c>
      <x:c r="C314" s="1" t="s">
        <x:v>116</x:v>
      </x:c>
      <x:c r="D314" s="1" t="s">
        <x:v>124</x:v>
      </x:c>
      <x:c r="E314" s="1" t="s">
        <x:v>114</x:v>
      </x:c>
      <x:c r="F314" s="1" t="s">
        <x:v>125</x:v>
      </x:c>
      <x:c r="G314" s="1" t="s">
        <x:v>115</x:v>
      </x:c>
      <x:c r="H314" s="1" t="s">
        <x:v>117</x:v>
      </x:c>
      <x:c r="I314" s="1" t="s">
        <x:v>113</x:v>
      </x:c>
      <x:c r="J314">
        <x:f t="shared" si="6"/>
        <x:v>0</x:v>
      </x:c>
      <x:c r="K314" t="n">
        <x:f>COUNTIFS(Grunnspill!$A:$A,Annex!B314)</x:f>
        <x:v>0</x:v>
      </x:c>
      <x:c r="L314" t="n">
        <x:f>COUNTIFS(Grunnspill!$A:$A,Annex!C314)</x:f>
        <x:v>0</x:v>
      </x:c>
      <x:c r="M314" t="n">
        <x:f>COUNTIFS(Grunnspill!$A:$A,Annex!D314)</x:f>
        <x:v>0</x:v>
      </x:c>
      <x:c r="N314" t="n">
        <x:f>COUNTIFS(Grunnspill!$A:$A,Annex!E314)</x:f>
        <x:v>0</x:v>
      </x:c>
      <x:c r="O314" t="n">
        <x:f>COUNTIFS(Grunnspill!$A:$A,Annex!F314)</x:f>
        <x:v>0</x:v>
      </x:c>
      <x:c r="P314" t="n">
        <x:f>COUNTIFS(Grunnspill!$A:$A,Annex!G314)</x:f>
        <x:v>0</x:v>
      </x:c>
      <x:c r="Q314" t="n">
        <x:f>COUNTIFS(Grunnspill!$A:$A,Annex!H314)</x:f>
        <x:v>0</x:v>
      </x:c>
      <x:c r="R314" t="n">
        <x:f>COUNTIFS(Grunnspill!$A:$A,Annex!I314)</x:f>
        <x:v>0</x:v>
      </x:c>
    </x:row>
    <x:row r="315">
      <x:c r="A315">
        <x:v>312</x:v>
      </x:c>
      <x:c r="B315" s="1" t="s">
        <x:v>111</x:v>
      </x:c>
      <x:c r="C315" s="1" t="s">
        <x:v>116</x:v>
      </x:c>
      <x:c r="D315" s="1" t="s">
        <x:v>124</x:v>
      </x:c>
      <x:c r="E315" s="1" t="s">
        <x:v>114</x:v>
      </x:c>
      <x:c r="F315" s="1" t="s">
        <x:v>125</x:v>
      </x:c>
      <x:c r="G315" s="1" t="s">
        <x:v>115</x:v>
      </x:c>
      <x:c r="H315" s="1" t="s">
        <x:v>113</x:v>
      </x:c>
      <x:c r="I315" s="1" t="s">
        <x:v>118</x:v>
      </x:c>
      <x:c r="J315">
        <x:f t="shared" si="6"/>
        <x:v>0</x:v>
      </x:c>
      <x:c r="K315" t="n">
        <x:f>COUNTIFS(Grunnspill!$A:$A,Annex!B315)</x:f>
        <x:v>0</x:v>
      </x:c>
      <x:c r="L315" t="n">
        <x:f>COUNTIFS(Grunnspill!$A:$A,Annex!C315)</x:f>
        <x:v>0</x:v>
      </x:c>
      <x:c r="M315" t="n">
        <x:f>COUNTIFS(Grunnspill!$A:$A,Annex!D315)</x:f>
        <x:v>0</x:v>
      </x:c>
      <x:c r="N315" t="n">
        <x:f>COUNTIFS(Grunnspill!$A:$A,Annex!E315)</x:f>
        <x:v>0</x:v>
      </x:c>
      <x:c r="O315" t="n">
        <x:f>COUNTIFS(Grunnspill!$A:$A,Annex!F315)</x:f>
        <x:v>0</x:v>
      </x:c>
      <x:c r="P315" t="n">
        <x:f>COUNTIFS(Grunnspill!$A:$A,Annex!G315)</x:f>
        <x:v>0</x:v>
      </x:c>
      <x:c r="Q315" t="n">
        <x:f>COUNTIFS(Grunnspill!$A:$A,Annex!H315)</x:f>
        <x:v>0</x:v>
      </x:c>
      <x:c r="R315" t="n">
        <x:f>COUNTIFS(Grunnspill!$A:$A,Annex!I315)</x:f>
        <x:v>0</x:v>
      </x:c>
    </x:row>
    <x:row r="316">
      <x:c r="A316">
        <x:v>313</x:v>
      </x:c>
      <x:c r="B316" s="1" t="s">
        <x:v>115</x:v>
      </x:c>
      <x:c r="C316" s="1" t="s">
        <x:v>112</x:v>
      </x:c>
      <x:c r="D316" s="1" t="s">
        <x:v>124</x:v>
      </x:c>
      <x:c r="E316" s="1" t="s">
        <x:v>114</x:v>
      </x:c>
      <x:c r="F316" s="1" t="s">
        <x:v>125</x:v>
      </x:c>
      <x:c r="G316" s="1" t="s">
        <x:v>116</x:v>
      </x:c>
      <x:c r="H316" s="1" t="s">
        <x:v>111</x:v>
      </x:c>
      <x:c r="I316" s="1" t="s">
        <x:v>113</x:v>
      </x:c>
      <x:c r="J316">
        <x:f t="shared" si="6"/>
        <x:v>0</x:v>
      </x:c>
      <x:c r="K316" t="n">
        <x:f>COUNTIFS(Grunnspill!$A:$A,Annex!B316)</x:f>
        <x:v>0</x:v>
      </x:c>
      <x:c r="L316" t="n">
        <x:f>COUNTIFS(Grunnspill!$A:$A,Annex!C316)</x:f>
        <x:v>0</x:v>
      </x:c>
      <x:c r="M316" t="n">
        <x:f>COUNTIFS(Grunnspill!$A:$A,Annex!D316)</x:f>
        <x:v>0</x:v>
      </x:c>
      <x:c r="N316" t="n">
        <x:f>COUNTIFS(Grunnspill!$A:$A,Annex!E316)</x:f>
        <x:v>0</x:v>
      </x:c>
      <x:c r="O316" t="n">
        <x:f>COUNTIFS(Grunnspill!$A:$A,Annex!F316)</x:f>
        <x:v>0</x:v>
      </x:c>
      <x:c r="P316" t="n">
        <x:f>COUNTIFS(Grunnspill!$A:$A,Annex!G316)</x:f>
        <x:v>0</x:v>
      </x:c>
      <x:c r="Q316" t="n">
        <x:f>COUNTIFS(Grunnspill!$A:$A,Annex!H316)</x:f>
        <x:v>0</x:v>
      </x:c>
      <x:c r="R316" t="n">
        <x:f>COUNTIFS(Grunnspill!$A:$A,Annex!I316)</x:f>
        <x:v>0</x:v>
      </x:c>
    </x:row>
    <x:row r="317">
      <x:c r="A317">
        <x:v>314</x:v>
      </x:c>
      <x:c r="B317" s="1" t="s">
        <x:v>113</x:v>
      </x:c>
      <x:c r="C317" s="1" t="s">
        <x:v>112</x:v>
      </x:c>
      <x:c r="D317" s="1" t="s">
        <x:v>124</x:v>
      </x:c>
      <x:c r="E317" s="1" t="s">
        <x:v>120</x:v>
      </x:c>
      <x:c r="F317" s="1" t="s">
        <x:v>125</x:v>
      </x:c>
      <x:c r="G317" s="1" t="s">
        <x:v>115</x:v>
      </x:c>
      <x:c r="H317" s="1" t="s">
        <x:v>117</x:v>
      </x:c>
      <x:c r="I317" s="1" t="s">
        <x:v>118</x:v>
      </x:c>
      <x:c r="J317">
        <x:f t="shared" si="6"/>
        <x:v>0</x:v>
      </x:c>
      <x:c r="K317" t="n">
        <x:f>COUNTIFS(Grunnspill!$A:$A,Annex!B317)</x:f>
        <x:v>0</x:v>
      </x:c>
      <x:c r="L317" t="n">
        <x:f>COUNTIFS(Grunnspill!$A:$A,Annex!C317)</x:f>
        <x:v>0</x:v>
      </x:c>
      <x:c r="M317" t="n">
        <x:f>COUNTIFS(Grunnspill!$A:$A,Annex!D317)</x:f>
        <x:v>0</x:v>
      </x:c>
      <x:c r="N317" t="n">
        <x:f>COUNTIFS(Grunnspill!$A:$A,Annex!E317)</x:f>
        <x:v>0</x:v>
      </x:c>
      <x:c r="O317" t="n">
        <x:f>COUNTIFS(Grunnspill!$A:$A,Annex!F317)</x:f>
        <x:v>0</x:v>
      </x:c>
      <x:c r="P317" t="n">
        <x:f>COUNTIFS(Grunnspill!$A:$A,Annex!G317)</x:f>
        <x:v>0</x:v>
      </x:c>
      <x:c r="Q317" t="n">
        <x:f>COUNTIFS(Grunnspill!$A:$A,Annex!H317)</x:f>
        <x:v>0</x:v>
      </x:c>
      <x:c r="R317" t="n">
        <x:f>COUNTIFS(Grunnspill!$A:$A,Annex!I317)</x:f>
        <x:v>0</x:v>
      </x:c>
    </x:row>
    <x:row r="318">
      <x:c r="A318">
        <x:v>315</x:v>
      </x:c>
      <x:c r="B318" s="1" t="s">
        <x:v>113</x:v>
      </x:c>
      <x:c r="C318" s="1" t="s">
        <x:v>112</x:v>
      </x:c>
      <x:c r="D318" s="1" t="s">
        <x:v>124</x:v>
      </x:c>
      <x:c r="E318" s="1" t="s">
        <x:v>120</x:v>
      </x:c>
      <x:c r="F318" s="1" t="s">
        <x:v>125</x:v>
      </x:c>
      <x:c r="G318" s="1" t="s">
        <x:v>116</x:v>
      </x:c>
      <x:c r="H318" s="1" t="s">
        <x:v>117</x:v>
      </x:c>
      <x:c r="I318" s="1" t="s">
        <x:v>118</x:v>
      </x:c>
      <x:c r="J318">
        <x:f t="shared" si="6"/>
        <x:v>0</x:v>
      </x:c>
      <x:c r="K318" t="n">
        <x:f>COUNTIFS(Grunnspill!$A:$A,Annex!B318)</x:f>
        <x:v>0</x:v>
      </x:c>
      <x:c r="L318" t="n">
        <x:f>COUNTIFS(Grunnspill!$A:$A,Annex!C318)</x:f>
        <x:v>0</x:v>
      </x:c>
      <x:c r="M318" t="n">
        <x:f>COUNTIFS(Grunnspill!$A:$A,Annex!D318)</x:f>
        <x:v>0</x:v>
      </x:c>
      <x:c r="N318" t="n">
        <x:f>COUNTIFS(Grunnspill!$A:$A,Annex!E318)</x:f>
        <x:v>0</x:v>
      </x:c>
      <x:c r="O318" t="n">
        <x:f>COUNTIFS(Grunnspill!$A:$A,Annex!F318)</x:f>
        <x:v>0</x:v>
      </x:c>
      <x:c r="P318" t="n">
        <x:f>COUNTIFS(Grunnspill!$A:$A,Annex!G318)</x:f>
        <x:v>0</x:v>
      </x:c>
      <x:c r="Q318" t="n">
        <x:f>COUNTIFS(Grunnspill!$A:$A,Annex!H318)</x:f>
        <x:v>0</x:v>
      </x:c>
      <x:c r="R318" t="n">
        <x:f>COUNTIFS(Grunnspill!$A:$A,Annex!I318)</x:f>
        <x:v>0</x:v>
      </x:c>
    </x:row>
    <x:row r="319">
      <x:c r="A319">
        <x:v>316</x:v>
      </x:c>
      <x:c r="B319" s="1" t="s">
        <x:v>115</x:v>
      </x:c>
      <x:c r="C319" s="1" t="s">
        <x:v>112</x:v>
      </x:c>
      <x:c r="D319" s="1" t="s">
        <x:v>124</x:v>
      </x:c>
      <x:c r="E319" s="1" t="s">
        <x:v>120</x:v>
      </x:c>
      <x:c r="F319" s="1" t="s">
        <x:v>125</x:v>
      </x:c>
      <x:c r="G319" s="1" t="s">
        <x:v>116</x:v>
      </x:c>
      <x:c r="H319" s="1" t="s">
        <x:v>117</x:v>
      </x:c>
      <x:c r="I319" s="1" t="s">
        <x:v>118</x:v>
      </x:c>
      <x:c r="J319">
        <x:f t="shared" si="6"/>
        <x:v>0</x:v>
      </x:c>
      <x:c r="K319" t="n">
        <x:f>COUNTIFS(Grunnspill!$A:$A,Annex!B319)</x:f>
        <x:v>0</x:v>
      </x:c>
      <x:c r="L319" t="n">
        <x:f>COUNTIFS(Grunnspill!$A:$A,Annex!C319)</x:f>
        <x:v>0</x:v>
      </x:c>
      <x:c r="M319" t="n">
        <x:f>COUNTIFS(Grunnspill!$A:$A,Annex!D319)</x:f>
        <x:v>0</x:v>
      </x:c>
      <x:c r="N319" t="n">
        <x:f>COUNTIFS(Grunnspill!$A:$A,Annex!E319)</x:f>
        <x:v>0</x:v>
      </x:c>
      <x:c r="O319" t="n">
        <x:f>COUNTIFS(Grunnspill!$A:$A,Annex!F319)</x:f>
        <x:v>0</x:v>
      </x:c>
      <x:c r="P319" t="n">
        <x:f>COUNTIFS(Grunnspill!$A:$A,Annex!G319)</x:f>
        <x:v>0</x:v>
      </x:c>
      <x:c r="Q319" t="n">
        <x:f>COUNTIFS(Grunnspill!$A:$A,Annex!H319)</x:f>
        <x:v>0</x:v>
      </x:c>
      <x:c r="R319" t="n">
        <x:f>COUNTIFS(Grunnspill!$A:$A,Annex!I319)</x:f>
        <x:v>0</x:v>
      </x:c>
    </x:row>
    <x:row r="320">
      <x:c r="A320">
        <x:v>317</x:v>
      </x:c>
      <x:c r="B320" s="1" t="s">
        <x:v>113</x:v>
      </x:c>
      <x:c r="C320" s="1" t="s">
        <x:v>116</x:v>
      </x:c>
      <x:c r="D320" s="1" t="s">
        <x:v>124</x:v>
      </x:c>
      <x:c r="E320" s="1" t="s">
        <x:v>120</x:v>
      </x:c>
      <x:c r="F320" s="1" t="s">
        <x:v>125</x:v>
      </x:c>
      <x:c r="G320" s="1" t="s">
        <x:v>115</x:v>
      </x:c>
      <x:c r="H320" s="1" t="s">
        <x:v>117</x:v>
      </x:c>
      <x:c r="I320" s="1" t="s">
        <x:v>118</x:v>
      </x:c>
      <x:c r="J320">
        <x:f t="shared" si="6"/>
        <x:v>0</x:v>
      </x:c>
      <x:c r="K320" t="n">
        <x:f>COUNTIFS(Grunnspill!$A:$A,Annex!B320)</x:f>
        <x:v>0</x:v>
      </x:c>
      <x:c r="L320" t="n">
        <x:f>COUNTIFS(Grunnspill!$A:$A,Annex!C320)</x:f>
        <x:v>0</x:v>
      </x:c>
      <x:c r="M320" t="n">
        <x:f>COUNTIFS(Grunnspill!$A:$A,Annex!D320)</x:f>
        <x:v>0</x:v>
      </x:c>
      <x:c r="N320" t="n">
        <x:f>COUNTIFS(Grunnspill!$A:$A,Annex!E320)</x:f>
        <x:v>0</x:v>
      </x:c>
      <x:c r="O320" t="n">
        <x:f>COUNTIFS(Grunnspill!$A:$A,Annex!F320)</x:f>
        <x:v>0</x:v>
      </x:c>
      <x:c r="P320" t="n">
        <x:f>COUNTIFS(Grunnspill!$A:$A,Annex!G320)</x:f>
        <x:v>0</x:v>
      </x:c>
      <x:c r="Q320" t="n">
        <x:f>COUNTIFS(Grunnspill!$A:$A,Annex!H320)</x:f>
        <x:v>0</x:v>
      </x:c>
      <x:c r="R320" t="n">
        <x:f>COUNTIFS(Grunnspill!$A:$A,Annex!I320)</x:f>
        <x:v>0</x:v>
      </x:c>
    </x:row>
    <x:row r="321">
      <x:c r="A321">
        <x:v>318</x:v>
      </x:c>
      <x:c r="B321" s="1" t="s">
        <x:v>115</x:v>
      </x:c>
      <x:c r="C321" s="1" t="s">
        <x:v>112</x:v>
      </x:c>
      <x:c r="D321" s="1" t="s">
        <x:v>124</x:v>
      </x:c>
      <x:c r="E321" s="1" t="s">
        <x:v>120</x:v>
      </x:c>
      <x:c r="F321" s="1" t="s">
        <x:v>125</x:v>
      </x:c>
      <x:c r="G321" s="1" t="s">
        <x:v>116</x:v>
      </x:c>
      <x:c r="H321" s="1" t="s">
        <x:v>117</x:v>
      </x:c>
      <x:c r="I321" s="1" t="s">
        <x:v>113</x:v>
      </x:c>
      <x:c r="J321">
        <x:f t="shared" si="6"/>
        <x:v>0</x:v>
      </x:c>
      <x:c r="K321" t="n">
        <x:f>COUNTIFS(Grunnspill!$A:$A,Annex!B321)</x:f>
        <x:v>0</x:v>
      </x:c>
      <x:c r="L321" t="n">
        <x:f>COUNTIFS(Grunnspill!$A:$A,Annex!C321)</x:f>
        <x:v>0</x:v>
      </x:c>
      <x:c r="M321" t="n">
        <x:f>COUNTIFS(Grunnspill!$A:$A,Annex!D321)</x:f>
        <x:v>0</x:v>
      </x:c>
      <x:c r="N321" t="n">
        <x:f>COUNTIFS(Grunnspill!$A:$A,Annex!E321)</x:f>
        <x:v>0</x:v>
      </x:c>
      <x:c r="O321" t="n">
        <x:f>COUNTIFS(Grunnspill!$A:$A,Annex!F321)</x:f>
        <x:v>0</x:v>
      </x:c>
      <x:c r="P321" t="n">
        <x:f>COUNTIFS(Grunnspill!$A:$A,Annex!G321)</x:f>
        <x:v>0</x:v>
      </x:c>
      <x:c r="Q321" t="n">
        <x:f>COUNTIFS(Grunnspill!$A:$A,Annex!H321)</x:f>
        <x:v>0</x:v>
      </x:c>
      <x:c r="R321" t="n">
        <x:f>COUNTIFS(Grunnspill!$A:$A,Annex!I321)</x:f>
        <x:v>0</x:v>
      </x:c>
    </x:row>
    <x:row r="322">
      <x:c r="A322">
        <x:v>319</x:v>
      </x:c>
      <x:c r="B322" s="1" t="s">
        <x:v>115</x:v>
      </x:c>
      <x:c r="C322" s="1" t="s">
        <x:v>112</x:v>
      </x:c>
      <x:c r="D322" s="1" t="s">
        <x:v>124</x:v>
      </x:c>
      <x:c r="E322" s="1" t="s">
        <x:v>120</x:v>
      </x:c>
      <x:c r="F322" s="1" t="s">
        <x:v>125</x:v>
      </x:c>
      <x:c r="G322" s="1" t="s">
        <x:v>116</x:v>
      </x:c>
      <x:c r="H322" s="1" t="s">
        <x:v>113</x:v>
      </x:c>
      <x:c r="I322" s="1" t="s">
        <x:v>118</x:v>
      </x:c>
      <x:c r="J322">
        <x:f t="shared" si="6"/>
        <x:v>0</x:v>
      </x:c>
      <x:c r="K322" t="n">
        <x:f>COUNTIFS(Grunnspill!$A:$A,Annex!B322)</x:f>
        <x:v>0</x:v>
      </x:c>
      <x:c r="L322" t="n">
        <x:f>COUNTIFS(Grunnspill!$A:$A,Annex!C322)</x:f>
        <x:v>0</x:v>
      </x:c>
      <x:c r="M322" t="n">
        <x:f>COUNTIFS(Grunnspill!$A:$A,Annex!D322)</x:f>
        <x:v>0</x:v>
      </x:c>
      <x:c r="N322" t="n">
        <x:f>COUNTIFS(Grunnspill!$A:$A,Annex!E322)</x:f>
        <x:v>0</x:v>
      </x:c>
      <x:c r="O322" t="n">
        <x:f>COUNTIFS(Grunnspill!$A:$A,Annex!F322)</x:f>
        <x:v>0</x:v>
      </x:c>
      <x:c r="P322" t="n">
        <x:f>COUNTIFS(Grunnspill!$A:$A,Annex!G322)</x:f>
        <x:v>0</x:v>
      </x:c>
      <x:c r="Q322" t="n">
        <x:f>COUNTIFS(Grunnspill!$A:$A,Annex!H322)</x:f>
        <x:v>0</x:v>
      </x:c>
      <x:c r="R322" t="n">
        <x:f>COUNTIFS(Grunnspill!$A:$A,Annex!I322)</x:f>
        <x:v>0</x:v>
      </x:c>
    </x:row>
    <x:row r="323">
      <x:c r="A323">
        <x:v>320</x:v>
      </x:c>
      <x:c r="B323" s="1" t="s">
        <x:v>113</x:v>
      </x:c>
      <x:c r="C323" s="1" t="s">
        <x:v>112</x:v>
      </x:c>
      <x:c r="D323" s="1" t="s">
        <x:v>124</x:v>
      </x:c>
      <x:c r="E323" s="1" t="s">
        <x:v>120</x:v>
      </x:c>
      <x:c r="F323" s="1" t="s">
        <x:v>125</x:v>
      </x:c>
      <x:c r="G323" s="1" t="s">
        <x:v>114</x:v>
      </x:c>
      <x:c r="H323" s="1" t="s">
        <x:v>117</x:v>
      </x:c>
      <x:c r="I323" s="1" t="s">
        <x:v>118</x:v>
      </x:c>
      <x:c r="J323">
        <x:f t="shared" si="6"/>
        <x:v>0</x:v>
      </x:c>
      <x:c r="K323" t="n">
        <x:f>COUNTIFS(Grunnspill!$A:$A,Annex!B323)</x:f>
        <x:v>0</x:v>
      </x:c>
      <x:c r="L323" t="n">
        <x:f>COUNTIFS(Grunnspill!$A:$A,Annex!C323)</x:f>
        <x:v>0</x:v>
      </x:c>
      <x:c r="M323" t="n">
        <x:f>COUNTIFS(Grunnspill!$A:$A,Annex!D323)</x:f>
        <x:v>0</x:v>
      </x:c>
      <x:c r="N323" t="n">
        <x:f>COUNTIFS(Grunnspill!$A:$A,Annex!E323)</x:f>
        <x:v>0</x:v>
      </x:c>
      <x:c r="O323" t="n">
        <x:f>COUNTIFS(Grunnspill!$A:$A,Annex!F323)</x:f>
        <x:v>0</x:v>
      </x:c>
      <x:c r="P323" t="n">
        <x:f>COUNTIFS(Grunnspill!$A:$A,Annex!G323)</x:f>
        <x:v>0</x:v>
      </x:c>
      <x:c r="Q323" t="n">
        <x:f>COUNTIFS(Grunnspill!$A:$A,Annex!H323)</x:f>
        <x:v>0</x:v>
      </x:c>
      <x:c r="R323" t="n">
        <x:f>COUNTIFS(Grunnspill!$A:$A,Annex!I323)</x:f>
        <x:v>0</x:v>
      </x:c>
    </x:row>
    <x:row r="324">
      <x:c r="A324">
        <x:v>321</x:v>
      </x:c>
      <x:c r="B324" s="1" t="s">
        <x:v>115</x:v>
      </x:c>
      <x:c r="C324" s="1" t="s">
        <x:v>112</x:v>
      </x:c>
      <x:c r="D324" s="1" t="s">
        <x:v>124</x:v>
      </x:c>
      <x:c r="E324" s="1" t="s">
        <x:v>120</x:v>
      </x:c>
      <x:c r="F324" s="1" t="s">
        <x:v>125</x:v>
      </x:c>
      <x:c r="G324" s="1" t="s">
        <x:v>114</x:v>
      </x:c>
      <x:c r="H324" s="1" t="s">
        <x:v>117</x:v>
      </x:c>
      <x:c r="I324" s="1" t="s">
        <x:v>118</x:v>
      </x:c>
      <x:c r="J324">
        <x:f t="shared" si="6"/>
        <x:v>0</x:v>
      </x:c>
      <x:c r="K324" t="n">
        <x:f>COUNTIFS(Grunnspill!$A:$A,Annex!B324)</x:f>
        <x:v>0</x:v>
      </x:c>
      <x:c r="L324" t="n">
        <x:f>COUNTIFS(Grunnspill!$A:$A,Annex!C324)</x:f>
        <x:v>0</x:v>
      </x:c>
      <x:c r="M324" t="n">
        <x:f>COUNTIFS(Grunnspill!$A:$A,Annex!D324)</x:f>
        <x:v>0</x:v>
      </x:c>
      <x:c r="N324" t="n">
        <x:f>COUNTIFS(Grunnspill!$A:$A,Annex!E324)</x:f>
        <x:v>0</x:v>
      </x:c>
      <x:c r="O324" t="n">
        <x:f>COUNTIFS(Grunnspill!$A:$A,Annex!F324)</x:f>
        <x:v>0</x:v>
      </x:c>
      <x:c r="P324" t="n">
        <x:f>COUNTIFS(Grunnspill!$A:$A,Annex!G324)</x:f>
        <x:v>0</x:v>
      </x:c>
      <x:c r="Q324" t="n">
        <x:f>COUNTIFS(Grunnspill!$A:$A,Annex!H324)</x:f>
        <x:v>0</x:v>
      </x:c>
      <x:c r="R324" t="n">
        <x:f>COUNTIFS(Grunnspill!$A:$A,Annex!I324)</x:f>
        <x:v>0</x:v>
      </x:c>
    </x:row>
    <x:row r="325">
      <x:c r="A325">
        <x:v>322</x:v>
      </x:c>
      <x:c r="B325" s="1" t="s">
        <x:v>115</x:v>
      </x:c>
      <x:c r="C325" s="1" t="s">
        <x:v>113</x:v>
      </x:c>
      <x:c r="D325" s="1" t="s">
        <x:v>124</x:v>
      </x:c>
      <x:c r="E325" s="1" t="s">
        <x:v>120</x:v>
      </x:c>
      <x:c r="F325" s="1" t="s">
        <x:v>125</x:v>
      </x:c>
      <x:c r="G325" s="1" t="s">
        <x:v>114</x:v>
      </x:c>
      <x:c r="H325" s="1" t="s">
        <x:v>117</x:v>
      </x:c>
      <x:c r="I325" s="1" t="s">
        <x:v>118</x:v>
      </x:c>
      <x:c r="J325">
        <x:f t="shared" si="6"/>
        <x:v>0</x:v>
      </x:c>
      <x:c r="K325" t="n">
        <x:f>COUNTIFS(Grunnspill!$A:$A,Annex!B325)</x:f>
        <x:v>0</x:v>
      </x:c>
      <x:c r="L325" t="n">
        <x:f>COUNTIFS(Grunnspill!$A:$A,Annex!C325)</x:f>
        <x:v>0</x:v>
      </x:c>
      <x:c r="M325" t="n">
        <x:f>COUNTIFS(Grunnspill!$A:$A,Annex!D325)</x:f>
        <x:v>0</x:v>
      </x:c>
      <x:c r="N325" t="n">
        <x:f>COUNTIFS(Grunnspill!$A:$A,Annex!E325)</x:f>
        <x:v>0</x:v>
      </x:c>
      <x:c r="O325" t="n">
        <x:f>COUNTIFS(Grunnspill!$A:$A,Annex!F325)</x:f>
        <x:v>0</x:v>
      </x:c>
      <x:c r="P325" t="n">
        <x:f>COUNTIFS(Grunnspill!$A:$A,Annex!G325)</x:f>
        <x:v>0</x:v>
      </x:c>
      <x:c r="Q325" t="n">
        <x:f>COUNTIFS(Grunnspill!$A:$A,Annex!H325)</x:f>
        <x:v>0</x:v>
      </x:c>
      <x:c r="R325" t="n">
        <x:f>COUNTIFS(Grunnspill!$A:$A,Annex!I325)</x:f>
        <x:v>0</x:v>
      </x:c>
    </x:row>
    <x:row r="326">
      <x:c r="A326">
        <x:v>323</x:v>
      </x:c>
      <x:c r="B326" s="1" t="s">
        <x:v>115</x:v>
      </x:c>
      <x:c r="C326" s="1" t="s">
        <x:v>112</x:v>
      </x:c>
      <x:c r="D326" s="1" t="s">
        <x:v>124</x:v>
      </x:c>
      <x:c r="E326" s="1" t="s">
        <x:v>120</x:v>
      </x:c>
      <x:c r="F326" s="1" t="s">
        <x:v>125</x:v>
      </x:c>
      <x:c r="G326" s="1" t="s">
        <x:v>114</x:v>
      </x:c>
      <x:c r="H326" s="1" t="s">
        <x:v>117</x:v>
      </x:c>
      <x:c r="I326" s="1" t="s">
        <x:v>113</x:v>
      </x:c>
      <x:c r="J326">
        <x:f t="shared" si="6"/>
        <x:v>0</x:v>
      </x:c>
      <x:c r="K326" t="n">
        <x:f>COUNTIFS(Grunnspill!$A:$A,Annex!B326)</x:f>
        <x:v>0</x:v>
      </x:c>
      <x:c r="L326" t="n">
        <x:f>COUNTIFS(Grunnspill!$A:$A,Annex!C326)</x:f>
        <x:v>0</x:v>
      </x:c>
      <x:c r="M326" t="n">
        <x:f>COUNTIFS(Grunnspill!$A:$A,Annex!D326)</x:f>
        <x:v>0</x:v>
      </x:c>
      <x:c r="N326" t="n">
        <x:f>COUNTIFS(Grunnspill!$A:$A,Annex!E326)</x:f>
        <x:v>0</x:v>
      </x:c>
      <x:c r="O326" t="n">
        <x:f>COUNTIFS(Grunnspill!$A:$A,Annex!F326)</x:f>
        <x:v>0</x:v>
      </x:c>
      <x:c r="P326" t="n">
        <x:f>COUNTIFS(Grunnspill!$A:$A,Annex!G326)</x:f>
        <x:v>0</x:v>
      </x:c>
      <x:c r="Q326" t="n">
        <x:f>COUNTIFS(Grunnspill!$A:$A,Annex!H326)</x:f>
        <x:v>0</x:v>
      </x:c>
      <x:c r="R326" t="n">
        <x:f>COUNTIFS(Grunnspill!$A:$A,Annex!I326)</x:f>
        <x:v>0</x:v>
      </x:c>
    </x:row>
    <x:row r="327">
      <x:c r="A327">
        <x:v>324</x:v>
      </x:c>
      <x:c r="B327" s="1" t="s">
        <x:v>115</x:v>
      </x:c>
      <x:c r="C327" s="1" t="s">
        <x:v>112</x:v>
      </x:c>
      <x:c r="D327" s="1" t="s">
        <x:v>124</x:v>
      </x:c>
      <x:c r="E327" s="1" t="s">
        <x:v>120</x:v>
      </x:c>
      <x:c r="F327" s="1" t="s">
        <x:v>125</x:v>
      </x:c>
      <x:c r="G327" s="1" t="s">
        <x:v>114</x:v>
      </x:c>
      <x:c r="H327" s="1" t="s">
        <x:v>113</x:v>
      </x:c>
      <x:c r="I327" s="1" t="s">
        <x:v>118</x:v>
      </x:c>
      <x:c r="J327">
        <x:f t="shared" si="6"/>
        <x:v>0</x:v>
      </x:c>
      <x:c r="K327" t="n">
        <x:f>COUNTIFS(Grunnspill!$A:$A,Annex!B327)</x:f>
        <x:v>0</x:v>
      </x:c>
      <x:c r="L327" t="n">
        <x:f>COUNTIFS(Grunnspill!$A:$A,Annex!C327)</x:f>
        <x:v>0</x:v>
      </x:c>
      <x:c r="M327" t="n">
        <x:f>COUNTIFS(Grunnspill!$A:$A,Annex!D327)</x:f>
        <x:v>0</x:v>
      </x:c>
      <x:c r="N327" t="n">
        <x:f>COUNTIFS(Grunnspill!$A:$A,Annex!E327)</x:f>
        <x:v>0</x:v>
      </x:c>
      <x:c r="O327" t="n">
        <x:f>COUNTIFS(Grunnspill!$A:$A,Annex!F327)</x:f>
        <x:v>0</x:v>
      </x:c>
      <x:c r="P327" t="n">
        <x:f>COUNTIFS(Grunnspill!$A:$A,Annex!G327)</x:f>
        <x:v>0</x:v>
      </x:c>
      <x:c r="Q327" t="n">
        <x:f>COUNTIFS(Grunnspill!$A:$A,Annex!H327)</x:f>
        <x:v>0</x:v>
      </x:c>
      <x:c r="R327" t="n">
        <x:f>COUNTIFS(Grunnspill!$A:$A,Annex!I327)</x:f>
        <x:v>0</x:v>
      </x:c>
    </x:row>
    <x:row r="328">
      <x:c r="A328">
        <x:v>325</x:v>
      </x:c>
      <x:c r="B328" s="1" t="s">
        <x:v>114</x:v>
      </x:c>
      <x:c r="C328" s="1" t="s">
        <x:v>112</x:v>
      </x:c>
      <x:c r="D328" s="1" t="s">
        <x:v>124</x:v>
      </x:c>
      <x:c r="E328" s="1" t="s">
        <x:v>120</x:v>
      </x:c>
      <x:c r="F328" s="1" t="s">
        <x:v>125</x:v>
      </x:c>
      <x:c r="G328" s="1" t="s">
        <x:v>116</x:v>
      </x:c>
      <x:c r="H328" s="1" t="s">
        <x:v>117</x:v>
      </x:c>
      <x:c r="I328" s="1" t="s">
        <x:v>118</x:v>
      </x:c>
      <x:c r="J328">
        <x:f t="shared" si="6"/>
        <x:v>0</x:v>
      </x:c>
      <x:c r="K328" t="n">
        <x:f>COUNTIFS(Grunnspill!$A:$A,Annex!B328)</x:f>
        <x:v>0</x:v>
      </x:c>
      <x:c r="L328" t="n">
        <x:f>COUNTIFS(Grunnspill!$A:$A,Annex!C328)</x:f>
        <x:v>0</x:v>
      </x:c>
      <x:c r="M328" t="n">
        <x:f>COUNTIFS(Grunnspill!$A:$A,Annex!D328)</x:f>
        <x:v>0</x:v>
      </x:c>
      <x:c r="N328" t="n">
        <x:f>COUNTIFS(Grunnspill!$A:$A,Annex!E328)</x:f>
        <x:v>0</x:v>
      </x:c>
      <x:c r="O328" t="n">
        <x:f>COUNTIFS(Grunnspill!$A:$A,Annex!F328)</x:f>
        <x:v>0</x:v>
      </x:c>
      <x:c r="P328" t="n">
        <x:f>COUNTIFS(Grunnspill!$A:$A,Annex!G328)</x:f>
        <x:v>0</x:v>
      </x:c>
      <x:c r="Q328" t="n">
        <x:f>COUNTIFS(Grunnspill!$A:$A,Annex!H328)</x:f>
        <x:v>0</x:v>
      </x:c>
      <x:c r="R328" t="n">
        <x:f>COUNTIFS(Grunnspill!$A:$A,Annex!I328)</x:f>
        <x:v>0</x:v>
      </x:c>
    </x:row>
    <x:row r="329">
      <x:c r="A329">
        <x:v>326</x:v>
      </x:c>
      <x:c r="B329" s="1" t="s">
        <x:v>113</x:v>
      </x:c>
      <x:c r="C329" s="1" t="s">
        <x:v>116</x:v>
      </x:c>
      <x:c r="D329" s="1" t="s">
        <x:v>124</x:v>
      </x:c>
      <x:c r="E329" s="1" t="s">
        <x:v>120</x:v>
      </x:c>
      <x:c r="F329" s="1" t="s">
        <x:v>125</x:v>
      </x:c>
      <x:c r="G329" s="1" t="s">
        <x:v>114</x:v>
      </x:c>
      <x:c r="H329" s="1" t="s">
        <x:v>117</x:v>
      </x:c>
      <x:c r="I329" s="1" t="s">
        <x:v>118</x:v>
      </x:c>
      <x:c r="J329">
        <x:f t="shared" si="6"/>
        <x:v>0</x:v>
      </x:c>
      <x:c r="K329" t="n">
        <x:f>COUNTIFS(Grunnspill!$A:$A,Annex!B329)</x:f>
        <x:v>0</x:v>
      </x:c>
      <x:c r="L329" t="n">
        <x:f>COUNTIFS(Grunnspill!$A:$A,Annex!C329)</x:f>
        <x:v>0</x:v>
      </x:c>
      <x:c r="M329" t="n">
        <x:f>COUNTIFS(Grunnspill!$A:$A,Annex!D329)</x:f>
        <x:v>0</x:v>
      </x:c>
      <x:c r="N329" t="n">
        <x:f>COUNTIFS(Grunnspill!$A:$A,Annex!E329)</x:f>
        <x:v>0</x:v>
      </x:c>
      <x:c r="O329" t="n">
        <x:f>COUNTIFS(Grunnspill!$A:$A,Annex!F329)</x:f>
        <x:v>0</x:v>
      </x:c>
      <x:c r="P329" t="n">
        <x:f>COUNTIFS(Grunnspill!$A:$A,Annex!G329)</x:f>
        <x:v>0</x:v>
      </x:c>
      <x:c r="Q329" t="n">
        <x:f>COUNTIFS(Grunnspill!$A:$A,Annex!H329)</x:f>
        <x:v>0</x:v>
      </x:c>
      <x:c r="R329" t="n">
        <x:f>COUNTIFS(Grunnspill!$A:$A,Annex!I329)</x:f>
        <x:v>0</x:v>
      </x:c>
    </x:row>
    <x:row r="330">
      <x:c r="A330">
        <x:v>327</x:v>
      </x:c>
      <x:c r="B330" s="1" t="s">
        <x:v>114</x:v>
      </x:c>
      <x:c r="C330" s="1" t="s">
        <x:v>112</x:v>
      </x:c>
      <x:c r="D330" s="1" t="s">
        <x:v>124</x:v>
      </x:c>
      <x:c r="E330" s="1" t="s">
        <x:v>120</x:v>
      </x:c>
      <x:c r="F330" s="1" t="s">
        <x:v>125</x:v>
      </x:c>
      <x:c r="G330" s="1" t="s">
        <x:v>116</x:v>
      </x:c>
      <x:c r="H330" s="1" t="s">
        <x:v>117</x:v>
      </x:c>
      <x:c r="I330" s="1" t="s">
        <x:v>113</x:v>
      </x:c>
      <x:c r="J330">
        <x:f t="shared" si="6"/>
        <x:v>0</x:v>
      </x:c>
      <x:c r="K330" t="n">
        <x:f>COUNTIFS(Grunnspill!$A:$A,Annex!B330)</x:f>
        <x:v>0</x:v>
      </x:c>
      <x:c r="L330" t="n">
        <x:f>COUNTIFS(Grunnspill!$A:$A,Annex!C330)</x:f>
        <x:v>0</x:v>
      </x:c>
      <x:c r="M330" t="n">
        <x:f>COUNTIFS(Grunnspill!$A:$A,Annex!D330)</x:f>
        <x:v>0</x:v>
      </x:c>
      <x:c r="N330" t="n">
        <x:f>COUNTIFS(Grunnspill!$A:$A,Annex!E330)</x:f>
        <x:v>0</x:v>
      </x:c>
      <x:c r="O330" t="n">
        <x:f>COUNTIFS(Grunnspill!$A:$A,Annex!F330)</x:f>
        <x:v>0</x:v>
      </x:c>
      <x:c r="P330" t="n">
        <x:f>COUNTIFS(Grunnspill!$A:$A,Annex!G330)</x:f>
        <x:v>0</x:v>
      </x:c>
      <x:c r="Q330" t="n">
        <x:f>COUNTIFS(Grunnspill!$A:$A,Annex!H330)</x:f>
        <x:v>0</x:v>
      </x:c>
      <x:c r="R330" t="n">
        <x:f>COUNTIFS(Grunnspill!$A:$A,Annex!I330)</x:f>
        <x:v>0</x:v>
      </x:c>
    </x:row>
    <x:row r="331">
      <x:c r="A331">
        <x:v>328</x:v>
      </x:c>
      <x:c r="B331" s="1" t="s">
        <x:v>114</x:v>
      </x:c>
      <x:c r="C331" s="1" t="s">
        <x:v>112</x:v>
      </x:c>
      <x:c r="D331" s="1" t="s">
        <x:v>124</x:v>
      </x:c>
      <x:c r="E331" s="1" t="s">
        <x:v>120</x:v>
      </x:c>
      <x:c r="F331" s="1" t="s">
        <x:v>125</x:v>
      </x:c>
      <x:c r="G331" s="1" t="s">
        <x:v>116</x:v>
      </x:c>
      <x:c r="H331" s="1" t="s">
        <x:v>113</x:v>
      </x:c>
      <x:c r="I331" s="1" t="s">
        <x:v>118</x:v>
      </x:c>
      <x:c r="J331">
        <x:f t="shared" si="6"/>
        <x:v>0</x:v>
      </x:c>
      <x:c r="K331" t="n">
        <x:f>COUNTIFS(Grunnspill!$A:$A,Annex!B331)</x:f>
        <x:v>0</x:v>
      </x:c>
      <x:c r="L331" t="n">
        <x:f>COUNTIFS(Grunnspill!$A:$A,Annex!C331)</x:f>
        <x:v>0</x:v>
      </x:c>
      <x:c r="M331" t="n">
        <x:f>COUNTIFS(Grunnspill!$A:$A,Annex!D331)</x:f>
        <x:v>0</x:v>
      </x:c>
      <x:c r="N331" t="n">
        <x:f>COUNTIFS(Grunnspill!$A:$A,Annex!E331)</x:f>
        <x:v>0</x:v>
      </x:c>
      <x:c r="O331" t="n">
        <x:f>COUNTIFS(Grunnspill!$A:$A,Annex!F331)</x:f>
        <x:v>0</x:v>
      </x:c>
      <x:c r="P331" t="n">
        <x:f>COUNTIFS(Grunnspill!$A:$A,Annex!G331)</x:f>
        <x:v>0</x:v>
      </x:c>
      <x:c r="Q331" t="n">
        <x:f>COUNTIFS(Grunnspill!$A:$A,Annex!H331)</x:f>
        <x:v>0</x:v>
      </x:c>
      <x:c r="R331" t="n">
        <x:f>COUNTIFS(Grunnspill!$A:$A,Annex!I331)</x:f>
        <x:v>0</x:v>
      </x:c>
    </x:row>
    <x:row r="332">
      <x:c r="A332">
        <x:v>329</x:v>
      </x:c>
      <x:c r="B332" s="1" t="s">
        <x:v>115</x:v>
      </x:c>
      <x:c r="C332" s="1" t="s">
        <x:v>116</x:v>
      </x:c>
      <x:c r="D332" s="1" t="s">
        <x:v>124</x:v>
      </x:c>
      <x:c r="E332" s="1" t="s">
        <x:v>120</x:v>
      </x:c>
      <x:c r="F332" s="1" t="s">
        <x:v>125</x:v>
      </x:c>
      <x:c r="G332" s="1" t="s">
        <x:v>114</x:v>
      </x:c>
      <x:c r="H332" s="1" t="s">
        <x:v>117</x:v>
      </x:c>
      <x:c r="I332" s="1" t="s">
        <x:v>118</x:v>
      </x:c>
      <x:c r="J332">
        <x:f t="shared" si="6"/>
        <x:v>0</x:v>
      </x:c>
      <x:c r="K332" t="n">
        <x:f>COUNTIFS(Grunnspill!$A:$A,Annex!B332)</x:f>
        <x:v>0</x:v>
      </x:c>
      <x:c r="L332" t="n">
        <x:f>COUNTIFS(Grunnspill!$A:$A,Annex!C332)</x:f>
        <x:v>0</x:v>
      </x:c>
      <x:c r="M332" t="n">
        <x:f>COUNTIFS(Grunnspill!$A:$A,Annex!D332)</x:f>
        <x:v>0</x:v>
      </x:c>
      <x:c r="N332" t="n">
        <x:f>COUNTIFS(Grunnspill!$A:$A,Annex!E332)</x:f>
        <x:v>0</x:v>
      </x:c>
      <x:c r="O332" t="n">
        <x:f>COUNTIFS(Grunnspill!$A:$A,Annex!F332)</x:f>
        <x:v>0</x:v>
      </x:c>
      <x:c r="P332" t="n">
        <x:f>COUNTIFS(Grunnspill!$A:$A,Annex!G332)</x:f>
        <x:v>0</x:v>
      </x:c>
      <x:c r="Q332" t="n">
        <x:f>COUNTIFS(Grunnspill!$A:$A,Annex!H332)</x:f>
        <x:v>0</x:v>
      </x:c>
      <x:c r="R332" t="n">
        <x:f>COUNTIFS(Grunnspill!$A:$A,Annex!I332)</x:f>
        <x:v>0</x:v>
      </x:c>
    </x:row>
    <x:row r="333">
      <x:c r="A333">
        <x:v>330</x:v>
      </x:c>
      <x:c r="B333" s="1" t="s">
        <x:v>115</x:v>
      </x:c>
      <x:c r="C333" s="1" t="s">
        <x:v>116</x:v>
      </x:c>
      <x:c r="D333" s="1" t="s">
        <x:v>124</x:v>
      </x:c>
      <x:c r="E333" s="1" t="s">
        <x:v>120</x:v>
      </x:c>
      <x:c r="F333" s="1" t="s">
        <x:v>125</x:v>
      </x:c>
      <x:c r="G333" s="1" t="s">
        <x:v>114</x:v>
      </x:c>
      <x:c r="H333" s="1" t="s">
        <x:v>117</x:v>
      </x:c>
      <x:c r="I333" s="1" t="s">
        <x:v>112</x:v>
      </x:c>
      <x:c r="J333">
        <x:f t="shared" si="6"/>
        <x:v>0</x:v>
      </x:c>
      <x:c r="K333" t="n">
        <x:f>COUNTIFS(Grunnspill!$A:$A,Annex!B333)</x:f>
        <x:v>0</x:v>
      </x:c>
      <x:c r="L333" t="n">
        <x:f>COUNTIFS(Grunnspill!$A:$A,Annex!C333)</x:f>
        <x:v>0</x:v>
      </x:c>
      <x:c r="M333" t="n">
        <x:f>COUNTIFS(Grunnspill!$A:$A,Annex!D333)</x:f>
        <x:v>0</x:v>
      </x:c>
      <x:c r="N333" t="n">
        <x:f>COUNTIFS(Grunnspill!$A:$A,Annex!E333)</x:f>
        <x:v>0</x:v>
      </x:c>
      <x:c r="O333" t="n">
        <x:f>COUNTIFS(Grunnspill!$A:$A,Annex!F333)</x:f>
        <x:v>0</x:v>
      </x:c>
      <x:c r="P333" t="n">
        <x:f>COUNTIFS(Grunnspill!$A:$A,Annex!G333)</x:f>
        <x:v>0</x:v>
      </x:c>
      <x:c r="Q333" t="n">
        <x:f>COUNTIFS(Grunnspill!$A:$A,Annex!H333)</x:f>
        <x:v>0</x:v>
      </x:c>
      <x:c r="R333" t="n">
        <x:f>COUNTIFS(Grunnspill!$A:$A,Annex!I333)</x:f>
        <x:v>0</x:v>
      </x:c>
    </x:row>
    <x:row r="334">
      <x:c r="A334">
        <x:v>331</x:v>
      </x:c>
      <x:c r="B334" s="1" t="s">
        <x:v>115</x:v>
      </x:c>
      <x:c r="C334" s="1" t="s">
        <x:v>116</x:v>
      </x:c>
      <x:c r="D334" s="1" t="s">
        <x:v>124</x:v>
      </x:c>
      <x:c r="E334" s="1" t="s">
        <x:v>120</x:v>
      </x:c>
      <x:c r="F334" s="1" t="s">
        <x:v>125</x:v>
      </x:c>
      <x:c r="G334" s="1" t="s">
        <x:v>114</x:v>
      </x:c>
      <x:c r="H334" s="1" t="s">
        <x:v>112</x:v>
      </x:c>
      <x:c r="I334" s="1" t="s">
        <x:v>118</x:v>
      </x:c>
      <x:c r="J334">
        <x:f t="shared" si="6"/>
        <x:v>0</x:v>
      </x:c>
      <x:c r="K334" t="n">
        <x:f>COUNTIFS(Grunnspill!$A:$A,Annex!B334)</x:f>
        <x:v>0</x:v>
      </x:c>
      <x:c r="L334" t="n">
        <x:f>COUNTIFS(Grunnspill!$A:$A,Annex!C334)</x:f>
        <x:v>0</x:v>
      </x:c>
      <x:c r="M334" t="n">
        <x:f>COUNTIFS(Grunnspill!$A:$A,Annex!D334)</x:f>
        <x:v>0</x:v>
      </x:c>
      <x:c r="N334" t="n">
        <x:f>COUNTIFS(Grunnspill!$A:$A,Annex!E334)</x:f>
        <x:v>0</x:v>
      </x:c>
      <x:c r="O334" t="n">
        <x:f>COUNTIFS(Grunnspill!$A:$A,Annex!F334)</x:f>
        <x:v>0</x:v>
      </x:c>
      <x:c r="P334" t="n">
        <x:f>COUNTIFS(Grunnspill!$A:$A,Annex!G334)</x:f>
        <x:v>0</x:v>
      </x:c>
      <x:c r="Q334" t="n">
        <x:f>COUNTIFS(Grunnspill!$A:$A,Annex!H334)</x:f>
        <x:v>0</x:v>
      </x:c>
      <x:c r="R334" t="n">
        <x:f>COUNTIFS(Grunnspill!$A:$A,Annex!I334)</x:f>
        <x:v>0</x:v>
      </x:c>
    </x:row>
    <x:row r="335">
      <x:c r="A335">
        <x:v>332</x:v>
      </x:c>
      <x:c r="B335" s="1" t="s">
        <x:v>115</x:v>
      </x:c>
      <x:c r="C335" s="1" t="s">
        <x:v>116</x:v>
      </x:c>
      <x:c r="D335" s="1" t="s">
        <x:v>124</x:v>
      </x:c>
      <x:c r="E335" s="1" t="s">
        <x:v>120</x:v>
      </x:c>
      <x:c r="F335" s="1" t="s">
        <x:v>125</x:v>
      </x:c>
      <x:c r="G335" s="1" t="s">
        <x:v>114</x:v>
      </x:c>
      <x:c r="H335" s="1" t="s">
        <x:v>117</x:v>
      </x:c>
      <x:c r="I335" s="1" t="s">
        <x:v>113</x:v>
      </x:c>
      <x:c r="J335">
        <x:f t="shared" si="6"/>
        <x:v>0</x:v>
      </x:c>
      <x:c r="K335" t="n">
        <x:f>COUNTIFS(Grunnspill!$A:$A,Annex!B335)</x:f>
        <x:v>0</x:v>
      </x:c>
      <x:c r="L335" t="n">
        <x:f>COUNTIFS(Grunnspill!$A:$A,Annex!C335)</x:f>
        <x:v>0</x:v>
      </x:c>
      <x:c r="M335" t="n">
        <x:f>COUNTIFS(Grunnspill!$A:$A,Annex!D335)</x:f>
        <x:v>0</x:v>
      </x:c>
      <x:c r="N335" t="n">
        <x:f>COUNTIFS(Grunnspill!$A:$A,Annex!E335)</x:f>
        <x:v>0</x:v>
      </x:c>
      <x:c r="O335" t="n">
        <x:f>COUNTIFS(Grunnspill!$A:$A,Annex!F335)</x:f>
        <x:v>0</x:v>
      </x:c>
      <x:c r="P335" t="n">
        <x:f>COUNTIFS(Grunnspill!$A:$A,Annex!G335)</x:f>
        <x:v>0</x:v>
      </x:c>
      <x:c r="Q335" t="n">
        <x:f>COUNTIFS(Grunnspill!$A:$A,Annex!H335)</x:f>
        <x:v>0</x:v>
      </x:c>
      <x:c r="R335" t="n">
        <x:f>COUNTIFS(Grunnspill!$A:$A,Annex!I335)</x:f>
        <x:v>0</x:v>
      </x:c>
    </x:row>
    <x:row r="336">
      <x:c r="A336">
        <x:v>333</x:v>
      </x:c>
      <x:c r="B336" s="1" t="s">
        <x:v>115</x:v>
      </x:c>
      <x:c r="C336" s="1" t="s">
        <x:v>116</x:v>
      </x:c>
      <x:c r="D336" s="1" t="s">
        <x:v>124</x:v>
      </x:c>
      <x:c r="E336" s="1" t="s">
        <x:v>120</x:v>
      </x:c>
      <x:c r="F336" s="1" t="s">
        <x:v>125</x:v>
      </x:c>
      <x:c r="G336" s="1" t="s">
        <x:v>114</x:v>
      </x:c>
      <x:c r="H336" s="1" t="s">
        <x:v>113</x:v>
      </x:c>
      <x:c r="I336" s="1" t="s">
        <x:v>118</x:v>
      </x:c>
      <x:c r="J336">
        <x:f t="shared" si="6"/>
        <x:v>0</x:v>
      </x:c>
      <x:c r="K336" t="n">
        <x:f>COUNTIFS(Grunnspill!$A:$A,Annex!B336)</x:f>
        <x:v>0</x:v>
      </x:c>
      <x:c r="L336" t="n">
        <x:f>COUNTIFS(Grunnspill!$A:$A,Annex!C336)</x:f>
        <x:v>0</x:v>
      </x:c>
      <x:c r="M336" t="n">
        <x:f>COUNTIFS(Grunnspill!$A:$A,Annex!D336)</x:f>
        <x:v>0</x:v>
      </x:c>
      <x:c r="N336" t="n">
        <x:f>COUNTIFS(Grunnspill!$A:$A,Annex!E336)</x:f>
        <x:v>0</x:v>
      </x:c>
      <x:c r="O336" t="n">
        <x:f>COUNTIFS(Grunnspill!$A:$A,Annex!F336)</x:f>
        <x:v>0</x:v>
      </x:c>
      <x:c r="P336" t="n">
        <x:f>COUNTIFS(Grunnspill!$A:$A,Annex!G336)</x:f>
        <x:v>0</x:v>
      </x:c>
      <x:c r="Q336" t="n">
        <x:f>COUNTIFS(Grunnspill!$A:$A,Annex!H336)</x:f>
        <x:v>0</x:v>
      </x:c>
      <x:c r="R336" t="n">
        <x:f>COUNTIFS(Grunnspill!$A:$A,Annex!I336)</x:f>
        <x:v>0</x:v>
      </x:c>
    </x:row>
    <x:row r="337">
      <x:c r="A337">
        <x:v>334</x:v>
      </x:c>
      <x:c r="B337" s="1" t="s">
        <x:v>115</x:v>
      </x:c>
      <x:c r="C337" s="1" t="s">
        <x:v>116</x:v>
      </x:c>
      <x:c r="D337" s="1" t="s">
        <x:v>124</x:v>
      </x:c>
      <x:c r="E337" s="1" t="s">
        <x:v>120</x:v>
      </x:c>
      <x:c r="F337" s="1" t="s">
        <x:v>125</x:v>
      </x:c>
      <x:c r="G337" s="1" t="s">
        <x:v>114</x:v>
      </x:c>
      <x:c r="H337" s="1" t="s">
        <x:v>113</x:v>
      </x:c>
      <x:c r="I337" s="1" t="s">
        <x:v>112</x:v>
      </x:c>
      <x:c r="J337">
        <x:f t="shared" si="6"/>
        <x:v>0</x:v>
      </x:c>
      <x:c r="K337" t="n">
        <x:f>COUNTIFS(Grunnspill!$A:$A,Annex!B337)</x:f>
        <x:v>0</x:v>
      </x:c>
      <x:c r="L337" t="n">
        <x:f>COUNTIFS(Grunnspill!$A:$A,Annex!C337)</x:f>
        <x:v>0</x:v>
      </x:c>
      <x:c r="M337" t="n">
        <x:f>COUNTIFS(Grunnspill!$A:$A,Annex!D337)</x:f>
        <x:v>0</x:v>
      </x:c>
      <x:c r="N337" t="n">
        <x:f>COUNTIFS(Grunnspill!$A:$A,Annex!E337)</x:f>
        <x:v>0</x:v>
      </x:c>
      <x:c r="O337" t="n">
        <x:f>COUNTIFS(Grunnspill!$A:$A,Annex!F337)</x:f>
        <x:v>0</x:v>
      </x:c>
      <x:c r="P337" t="n">
        <x:f>COUNTIFS(Grunnspill!$A:$A,Annex!G337)</x:f>
        <x:v>0</x:v>
      </x:c>
      <x:c r="Q337" t="n">
        <x:f>COUNTIFS(Grunnspill!$A:$A,Annex!H337)</x:f>
        <x:v>0</x:v>
      </x:c>
      <x:c r="R337" t="n">
        <x:f>COUNTIFS(Grunnspill!$A:$A,Annex!I337)</x:f>
        <x:v>0</x:v>
      </x:c>
    </x:row>
    <x:row r="338">
      <x:c r="A338">
        <x:v>335</x:v>
      </x:c>
      <x:c r="B338" s="1" t="s">
        <x:v>111</x:v>
      </x:c>
      <x:c r="C338" s="1" t="s">
        <x:v>112</x:v>
      </x:c>
      <x:c r="D338" s="1" t="s">
        <x:v>124</x:v>
      </x:c>
      <x:c r="E338" s="1" t="s">
        <x:v>125</x:v>
      </x:c>
      <x:c r="F338" s="1" t="s">
        <x:v>113</x:v>
      </x:c>
      <x:c r="G338" s="1" t="s">
        <x:v>120</x:v>
      </x:c>
      <x:c r="H338" s="1" t="s">
        <x:v>117</x:v>
      </x:c>
      <x:c r="I338" s="1" t="s">
        <x:v>118</x:v>
      </x:c>
      <x:c r="J338">
        <x:f t="shared" si="6"/>
        <x:v>0</x:v>
      </x:c>
      <x:c r="K338" t="n">
        <x:f>COUNTIFS(Grunnspill!$A:$A,Annex!B338)</x:f>
        <x:v>0</x:v>
      </x:c>
      <x:c r="L338" t="n">
        <x:f>COUNTIFS(Grunnspill!$A:$A,Annex!C338)</x:f>
        <x:v>0</x:v>
      </x:c>
      <x:c r="M338" t="n">
        <x:f>COUNTIFS(Grunnspill!$A:$A,Annex!D338)</x:f>
        <x:v>0</x:v>
      </x:c>
      <x:c r="N338" t="n">
        <x:f>COUNTIFS(Grunnspill!$A:$A,Annex!E338)</x:f>
        <x:v>0</x:v>
      </x:c>
      <x:c r="O338" t="n">
        <x:f>COUNTIFS(Grunnspill!$A:$A,Annex!F338)</x:f>
        <x:v>0</x:v>
      </x:c>
      <x:c r="P338" t="n">
        <x:f>COUNTIFS(Grunnspill!$A:$A,Annex!G338)</x:f>
        <x:v>0</x:v>
      </x:c>
      <x:c r="Q338" t="n">
        <x:f>COUNTIFS(Grunnspill!$A:$A,Annex!H338)</x:f>
        <x:v>0</x:v>
      </x:c>
      <x:c r="R338" t="n">
        <x:f>COUNTIFS(Grunnspill!$A:$A,Annex!I338)</x:f>
        <x:v>0</x:v>
      </x:c>
    </x:row>
    <x:row r="339">
      <x:c r="A339">
        <x:v>336</x:v>
      </x:c>
      <x:c r="B339" s="1" t="s">
        <x:v>111</x:v>
      </x:c>
      <x:c r="C339" s="1" t="s">
        <x:v>112</x:v>
      </x:c>
      <x:c r="D339" s="1" t="s">
        <x:v>124</x:v>
      </x:c>
      <x:c r="E339" s="1" t="s">
        <x:v>120</x:v>
      </x:c>
      <x:c r="F339" s="1" t="s">
        <x:v>125</x:v>
      </x:c>
      <x:c r="G339" s="1" t="s">
        <x:v>115</x:v>
      </x:c>
      <x:c r="H339" s="1" t="s">
        <x:v>117</x:v>
      </x:c>
      <x:c r="I339" s="1" t="s">
        <x:v>118</x:v>
      </x:c>
      <x:c r="J339">
        <x:f t="shared" si="6"/>
        <x:v>0</x:v>
      </x:c>
      <x:c r="K339" t="n">
        <x:f>COUNTIFS(Grunnspill!$A:$A,Annex!B339)</x:f>
        <x:v>0</x:v>
      </x:c>
      <x:c r="L339" t="n">
        <x:f>COUNTIFS(Grunnspill!$A:$A,Annex!C339)</x:f>
        <x:v>0</x:v>
      </x:c>
      <x:c r="M339" t="n">
        <x:f>COUNTIFS(Grunnspill!$A:$A,Annex!D339)</x:f>
        <x:v>0</x:v>
      </x:c>
      <x:c r="N339" t="n">
        <x:f>COUNTIFS(Grunnspill!$A:$A,Annex!E339)</x:f>
        <x:v>0</x:v>
      </x:c>
      <x:c r="O339" t="n">
        <x:f>COUNTIFS(Grunnspill!$A:$A,Annex!F339)</x:f>
        <x:v>0</x:v>
      </x:c>
      <x:c r="P339" t="n">
        <x:f>COUNTIFS(Grunnspill!$A:$A,Annex!G339)</x:f>
        <x:v>0</x:v>
      </x:c>
      <x:c r="Q339" t="n">
        <x:f>COUNTIFS(Grunnspill!$A:$A,Annex!H339)</x:f>
        <x:v>0</x:v>
      </x:c>
      <x:c r="R339" t="n">
        <x:f>COUNTIFS(Grunnspill!$A:$A,Annex!I339)</x:f>
        <x:v>0</x:v>
      </x:c>
    </x:row>
    <x:row r="340">
      <x:c r="A340">
        <x:v>337</x:v>
      </x:c>
      <x:c r="B340" s="1" t="s">
        <x:v>111</x:v>
      </x:c>
      <x:c r="C340" s="1" t="s">
        <x:v>113</x:v>
      </x:c>
      <x:c r="D340" s="1" t="s">
        <x:v>124</x:v>
      </x:c>
      <x:c r="E340" s="1" t="s">
        <x:v>120</x:v>
      </x:c>
      <x:c r="F340" s="1" t="s">
        <x:v>125</x:v>
      </x:c>
      <x:c r="G340" s="1" t="s">
        <x:v>115</x:v>
      </x:c>
      <x:c r="H340" s="1" t="s">
        <x:v>117</x:v>
      </x:c>
      <x:c r="I340" s="1" t="s">
        <x:v>118</x:v>
      </x:c>
      <x:c r="J340">
        <x:f t="shared" si="6"/>
        <x:v>0</x:v>
      </x:c>
      <x:c r="K340" t="n">
        <x:f>COUNTIFS(Grunnspill!$A:$A,Annex!B340)</x:f>
        <x:v>0</x:v>
      </x:c>
      <x:c r="L340" t="n">
        <x:f>COUNTIFS(Grunnspill!$A:$A,Annex!C340)</x:f>
        <x:v>0</x:v>
      </x:c>
      <x:c r="M340" t="n">
        <x:f>COUNTIFS(Grunnspill!$A:$A,Annex!D340)</x:f>
        <x:v>0</x:v>
      </x:c>
      <x:c r="N340" t="n">
        <x:f>COUNTIFS(Grunnspill!$A:$A,Annex!E340)</x:f>
        <x:v>0</x:v>
      </x:c>
      <x:c r="O340" t="n">
        <x:f>COUNTIFS(Grunnspill!$A:$A,Annex!F340)</x:f>
        <x:v>0</x:v>
      </x:c>
      <x:c r="P340" t="n">
        <x:f>COUNTIFS(Grunnspill!$A:$A,Annex!G340)</x:f>
        <x:v>0</x:v>
      </x:c>
      <x:c r="Q340" t="n">
        <x:f>COUNTIFS(Grunnspill!$A:$A,Annex!H340)</x:f>
        <x:v>0</x:v>
      </x:c>
      <x:c r="R340" t="n">
        <x:f>COUNTIFS(Grunnspill!$A:$A,Annex!I340)</x:f>
        <x:v>0</x:v>
      </x:c>
    </x:row>
    <x:row r="341">
      <x:c r="A341">
        <x:v>338</x:v>
      </x:c>
      <x:c r="B341" s="1" t="s">
        <x:v>111</x:v>
      </x:c>
      <x:c r="C341" s="1" t="s">
        <x:v>112</x:v>
      </x:c>
      <x:c r="D341" s="1" t="s">
        <x:v>124</x:v>
      </x:c>
      <x:c r="E341" s="1" t="s">
        <x:v>120</x:v>
      </x:c>
      <x:c r="F341" s="1" t="s">
        <x:v>125</x:v>
      </x:c>
      <x:c r="G341" s="1" t="s">
        <x:v>115</x:v>
      </x:c>
      <x:c r="H341" s="1" t="s">
        <x:v>117</x:v>
      </x:c>
      <x:c r="I341" s="1" t="s">
        <x:v>113</x:v>
      </x:c>
      <x:c r="J341">
        <x:f t="shared" si="6"/>
        <x:v>0</x:v>
      </x:c>
      <x:c r="K341" t="n">
        <x:f>COUNTIFS(Grunnspill!$A:$A,Annex!B341)</x:f>
        <x:v>0</x:v>
      </x:c>
      <x:c r="L341" t="n">
        <x:f>COUNTIFS(Grunnspill!$A:$A,Annex!C341)</x:f>
        <x:v>0</x:v>
      </x:c>
      <x:c r="M341" t="n">
        <x:f>COUNTIFS(Grunnspill!$A:$A,Annex!D341)</x:f>
        <x:v>0</x:v>
      </x:c>
      <x:c r="N341" t="n">
        <x:f>COUNTIFS(Grunnspill!$A:$A,Annex!E341)</x:f>
        <x:v>0</x:v>
      </x:c>
      <x:c r="O341" t="n">
        <x:f>COUNTIFS(Grunnspill!$A:$A,Annex!F341)</x:f>
        <x:v>0</x:v>
      </x:c>
      <x:c r="P341" t="n">
        <x:f>COUNTIFS(Grunnspill!$A:$A,Annex!G341)</x:f>
        <x:v>0</x:v>
      </x:c>
      <x:c r="Q341" t="n">
        <x:f>COUNTIFS(Grunnspill!$A:$A,Annex!H341)</x:f>
        <x:v>0</x:v>
      </x:c>
      <x:c r="R341" t="n">
        <x:f>COUNTIFS(Grunnspill!$A:$A,Annex!I341)</x:f>
        <x:v>0</x:v>
      </x:c>
    </x:row>
    <x:row r="342">
      <x:c r="A342">
        <x:v>339</x:v>
      </x:c>
      <x:c r="B342" s="1" t="s">
        <x:v>111</x:v>
      </x:c>
      <x:c r="C342" s="1" t="s">
        <x:v>112</x:v>
      </x:c>
      <x:c r="D342" s="1" t="s">
        <x:v>124</x:v>
      </x:c>
      <x:c r="E342" s="1" t="s">
        <x:v>120</x:v>
      </x:c>
      <x:c r="F342" s="1" t="s">
        <x:v>125</x:v>
      </x:c>
      <x:c r="G342" s="1" t="s">
        <x:v>115</x:v>
      </x:c>
      <x:c r="H342" s="1" t="s">
        <x:v>113</x:v>
      </x:c>
      <x:c r="I342" s="1" t="s">
        <x:v>118</x:v>
      </x:c>
      <x:c r="J342" t="n">
        <x:f t="shared" ref="J342:J405" si="7">SUM(K342:R342)</x:f>
        <x:v>0</x:v>
      </x:c>
      <x:c r="K342" t="n">
        <x:f>COUNTIFS(Grunnspill!$A:$A,Annex!B342)</x:f>
        <x:v>0</x:v>
      </x:c>
      <x:c r="L342" t="n">
        <x:f>COUNTIFS(Grunnspill!$A:$A,Annex!C342)</x:f>
        <x:v>0</x:v>
      </x:c>
      <x:c r="M342" t="n">
        <x:f>COUNTIFS(Grunnspill!$A:$A,Annex!D342)</x:f>
        <x:v>0</x:v>
      </x:c>
      <x:c r="N342" t="n">
        <x:f>COUNTIFS(Grunnspill!$A:$A,Annex!E342)</x:f>
        <x:v>0</x:v>
      </x:c>
      <x:c r="O342" t="n">
        <x:f>COUNTIFS(Grunnspill!$A:$A,Annex!F342)</x:f>
        <x:v>0</x:v>
      </x:c>
      <x:c r="P342" t="n">
        <x:f>COUNTIFS(Grunnspill!$A:$A,Annex!G342)</x:f>
        <x:v>0</x:v>
      </x:c>
      <x:c r="Q342" t="n">
        <x:f>COUNTIFS(Grunnspill!$A:$A,Annex!H342)</x:f>
        <x:v>0</x:v>
      </x:c>
      <x:c r="R342" t="n">
        <x:f>COUNTIFS(Grunnspill!$A:$A,Annex!I342)</x:f>
        <x:v>0</x:v>
      </x:c>
    </x:row>
    <x:row r="343">
      <x:c r="A343">
        <x:v>340</x:v>
      </x:c>
      <x:c r="B343" s="1" t="s">
        <x:v>111</x:v>
      </x:c>
      <x:c r="C343" s="1" t="s">
        <x:v>112</x:v>
      </x:c>
      <x:c r="D343" s="1" t="s">
        <x:v>124</x:v>
      </x:c>
      <x:c r="E343" s="1" t="s">
        <x:v>120</x:v>
      </x:c>
      <x:c r="F343" s="1" t="s">
        <x:v>125</x:v>
      </x:c>
      <x:c r="G343" s="1" t="s">
        <x:v>116</x:v>
      </x:c>
      <x:c r="H343" s="1" t="s">
        <x:v>117</x:v>
      </x:c>
      <x:c r="I343" s="1" t="s">
        <x:v>118</x:v>
      </x:c>
      <x:c r="J343">
        <x:f t="shared" si="7"/>
        <x:v>0</x:v>
      </x:c>
      <x:c r="K343" t="n">
        <x:f>COUNTIFS(Grunnspill!$A:$A,Annex!B343)</x:f>
        <x:v>0</x:v>
      </x:c>
      <x:c r="L343" t="n">
        <x:f>COUNTIFS(Grunnspill!$A:$A,Annex!C343)</x:f>
        <x:v>0</x:v>
      </x:c>
      <x:c r="M343" t="n">
        <x:f>COUNTIFS(Grunnspill!$A:$A,Annex!D343)</x:f>
        <x:v>0</x:v>
      </x:c>
      <x:c r="N343" t="n">
        <x:f>COUNTIFS(Grunnspill!$A:$A,Annex!E343)</x:f>
        <x:v>0</x:v>
      </x:c>
      <x:c r="O343" t="n">
        <x:f>COUNTIFS(Grunnspill!$A:$A,Annex!F343)</x:f>
        <x:v>0</x:v>
      </x:c>
      <x:c r="P343" t="n">
        <x:f>COUNTIFS(Grunnspill!$A:$A,Annex!G343)</x:f>
        <x:v>0</x:v>
      </x:c>
      <x:c r="Q343" t="n">
        <x:f>COUNTIFS(Grunnspill!$A:$A,Annex!H343)</x:f>
        <x:v>0</x:v>
      </x:c>
      <x:c r="R343" t="n">
        <x:f>COUNTIFS(Grunnspill!$A:$A,Annex!I343)</x:f>
        <x:v>0</x:v>
      </x:c>
    </x:row>
    <x:row r="344">
      <x:c r="A344">
        <x:v>341</x:v>
      </x:c>
      <x:c r="B344" s="1" t="s">
        <x:v>111</x:v>
      </x:c>
      <x:c r="C344" s="1" t="s">
        <x:v>116</x:v>
      </x:c>
      <x:c r="D344" s="1" t="s">
        <x:v>124</x:v>
      </x:c>
      <x:c r="E344" s="1" t="s">
        <x:v>125</x:v>
      </x:c>
      <x:c r="F344" s="1" t="s">
        <x:v>113</x:v>
      </x:c>
      <x:c r="G344" s="1" t="s">
        <x:v>120</x:v>
      </x:c>
      <x:c r="H344" s="1" t="s">
        <x:v>117</x:v>
      </x:c>
      <x:c r="I344" s="1" t="s">
        <x:v>118</x:v>
      </x:c>
      <x:c r="J344">
        <x:f t="shared" si="7"/>
        <x:v>0</x:v>
      </x:c>
      <x:c r="K344" t="n">
        <x:f>COUNTIFS(Grunnspill!$A:$A,Annex!B344)</x:f>
        <x:v>0</x:v>
      </x:c>
      <x:c r="L344" t="n">
        <x:f>COUNTIFS(Grunnspill!$A:$A,Annex!C344)</x:f>
        <x:v>0</x:v>
      </x:c>
      <x:c r="M344" t="n">
        <x:f>COUNTIFS(Grunnspill!$A:$A,Annex!D344)</x:f>
        <x:v>0</x:v>
      </x:c>
      <x:c r="N344" t="n">
        <x:f>COUNTIFS(Grunnspill!$A:$A,Annex!E344)</x:f>
        <x:v>0</x:v>
      </x:c>
      <x:c r="O344" t="n">
        <x:f>COUNTIFS(Grunnspill!$A:$A,Annex!F344)</x:f>
        <x:v>0</x:v>
      </x:c>
      <x:c r="P344" t="n">
        <x:f>COUNTIFS(Grunnspill!$A:$A,Annex!G344)</x:f>
        <x:v>0</x:v>
      </x:c>
      <x:c r="Q344" t="n">
        <x:f>COUNTIFS(Grunnspill!$A:$A,Annex!H344)</x:f>
        <x:v>0</x:v>
      </x:c>
      <x:c r="R344" t="n">
        <x:f>COUNTIFS(Grunnspill!$A:$A,Annex!I344)</x:f>
        <x:v>0</x:v>
      </x:c>
    </x:row>
    <x:row r="345">
      <x:c r="A345">
        <x:v>342</x:v>
      </x:c>
      <x:c r="B345" s="1" t="s">
        <x:v>111</x:v>
      </x:c>
      <x:c r="C345" s="1" t="s">
        <x:v>112</x:v>
      </x:c>
      <x:c r="D345" s="1" t="s">
        <x:v>124</x:v>
      </x:c>
      <x:c r="E345" s="1" t="s">
        <x:v>120</x:v>
      </x:c>
      <x:c r="F345" s="1" t="s">
        <x:v>125</x:v>
      </x:c>
      <x:c r="G345" s="1" t="s">
        <x:v>116</x:v>
      </x:c>
      <x:c r="H345" s="1" t="s">
        <x:v>117</x:v>
      </x:c>
      <x:c r="I345" s="1" t="s">
        <x:v>113</x:v>
      </x:c>
      <x:c r="J345">
        <x:f t="shared" si="7"/>
        <x:v>0</x:v>
      </x:c>
      <x:c r="K345" t="n">
        <x:f>COUNTIFS(Grunnspill!$A:$A,Annex!B345)</x:f>
        <x:v>0</x:v>
      </x:c>
      <x:c r="L345" t="n">
        <x:f>COUNTIFS(Grunnspill!$A:$A,Annex!C345)</x:f>
        <x:v>0</x:v>
      </x:c>
      <x:c r="M345" t="n">
        <x:f>COUNTIFS(Grunnspill!$A:$A,Annex!D345)</x:f>
        <x:v>0</x:v>
      </x:c>
      <x:c r="N345" t="n">
        <x:f>COUNTIFS(Grunnspill!$A:$A,Annex!E345)</x:f>
        <x:v>0</x:v>
      </x:c>
      <x:c r="O345" t="n">
        <x:f>COUNTIFS(Grunnspill!$A:$A,Annex!F345)</x:f>
        <x:v>0</x:v>
      </x:c>
      <x:c r="P345" t="n">
        <x:f>COUNTIFS(Grunnspill!$A:$A,Annex!G345)</x:f>
        <x:v>0</x:v>
      </x:c>
      <x:c r="Q345" t="n">
        <x:f>COUNTIFS(Grunnspill!$A:$A,Annex!H345)</x:f>
        <x:v>0</x:v>
      </x:c>
      <x:c r="R345" t="n">
        <x:f>COUNTIFS(Grunnspill!$A:$A,Annex!I345)</x:f>
        <x:v>0</x:v>
      </x:c>
    </x:row>
    <x:row r="346">
      <x:c r="A346">
        <x:v>343</x:v>
      </x:c>
      <x:c r="B346" s="1" t="s">
        <x:v>111</x:v>
      </x:c>
      <x:c r="C346" s="1" t="s">
        <x:v>112</x:v>
      </x:c>
      <x:c r="D346" s="1" t="s">
        <x:v>124</x:v>
      </x:c>
      <x:c r="E346" s="1" t="s">
        <x:v>120</x:v>
      </x:c>
      <x:c r="F346" s="1" t="s">
        <x:v>125</x:v>
      </x:c>
      <x:c r="G346" s="1" t="s">
        <x:v>116</x:v>
      </x:c>
      <x:c r="H346" s="1" t="s">
        <x:v>113</x:v>
      </x:c>
      <x:c r="I346" s="1" t="s">
        <x:v>118</x:v>
      </x:c>
      <x:c r="J346">
        <x:f t="shared" si="7"/>
        <x:v>0</x:v>
      </x:c>
      <x:c r="K346" t="n">
        <x:f>COUNTIFS(Grunnspill!$A:$A,Annex!B346)</x:f>
        <x:v>0</x:v>
      </x:c>
      <x:c r="L346" t="n">
        <x:f>COUNTIFS(Grunnspill!$A:$A,Annex!C346)</x:f>
        <x:v>0</x:v>
      </x:c>
      <x:c r="M346" t="n">
        <x:f>COUNTIFS(Grunnspill!$A:$A,Annex!D346)</x:f>
        <x:v>0</x:v>
      </x:c>
      <x:c r="N346" t="n">
        <x:f>COUNTIFS(Grunnspill!$A:$A,Annex!E346)</x:f>
        <x:v>0</x:v>
      </x:c>
      <x:c r="O346" t="n">
        <x:f>COUNTIFS(Grunnspill!$A:$A,Annex!F346)</x:f>
        <x:v>0</x:v>
      </x:c>
      <x:c r="P346" t="n">
        <x:f>COUNTIFS(Grunnspill!$A:$A,Annex!G346)</x:f>
        <x:v>0</x:v>
      </x:c>
      <x:c r="Q346" t="n">
        <x:f>COUNTIFS(Grunnspill!$A:$A,Annex!H346)</x:f>
        <x:v>0</x:v>
      </x:c>
      <x:c r="R346" t="n">
        <x:f>COUNTIFS(Grunnspill!$A:$A,Annex!I346)</x:f>
        <x:v>0</x:v>
      </x:c>
    </x:row>
    <x:row r="347">
      <x:c r="A347">
        <x:v>344</x:v>
      </x:c>
      <x:c r="B347" s="1" t="s">
        <x:v>111</x:v>
      </x:c>
      <x:c r="C347" s="1" t="s">
        <x:v>116</x:v>
      </x:c>
      <x:c r="D347" s="1" t="s">
        <x:v>124</x:v>
      </x:c>
      <x:c r="E347" s="1" t="s">
        <x:v>120</x:v>
      </x:c>
      <x:c r="F347" s="1" t="s">
        <x:v>125</x:v>
      </x:c>
      <x:c r="G347" s="1" t="s">
        <x:v>115</x:v>
      </x:c>
      <x:c r="H347" s="1" t="s">
        <x:v>117</x:v>
      </x:c>
      <x:c r="I347" s="1" t="s">
        <x:v>118</x:v>
      </x:c>
      <x:c r="J347">
        <x:f t="shared" si="7"/>
        <x:v>0</x:v>
      </x:c>
      <x:c r="K347" t="n">
        <x:f>COUNTIFS(Grunnspill!$A:$A,Annex!B347)</x:f>
        <x:v>0</x:v>
      </x:c>
      <x:c r="L347" t="n">
        <x:f>COUNTIFS(Grunnspill!$A:$A,Annex!C347)</x:f>
        <x:v>0</x:v>
      </x:c>
      <x:c r="M347" t="n">
        <x:f>COUNTIFS(Grunnspill!$A:$A,Annex!D347)</x:f>
        <x:v>0</x:v>
      </x:c>
      <x:c r="N347" t="n">
        <x:f>COUNTIFS(Grunnspill!$A:$A,Annex!E347)</x:f>
        <x:v>0</x:v>
      </x:c>
      <x:c r="O347" t="n">
        <x:f>COUNTIFS(Grunnspill!$A:$A,Annex!F347)</x:f>
        <x:v>0</x:v>
      </x:c>
      <x:c r="P347" t="n">
        <x:f>COUNTIFS(Grunnspill!$A:$A,Annex!G347)</x:f>
        <x:v>0</x:v>
      </x:c>
      <x:c r="Q347" t="n">
        <x:f>COUNTIFS(Grunnspill!$A:$A,Annex!H347)</x:f>
        <x:v>0</x:v>
      </x:c>
      <x:c r="R347" t="n">
        <x:f>COUNTIFS(Grunnspill!$A:$A,Annex!I347)</x:f>
        <x:v>0</x:v>
      </x:c>
    </x:row>
    <x:row r="348">
      <x:c r="A348">
        <x:v>345</x:v>
      </x:c>
      <x:c r="B348" s="1" t="s">
        <x:v>115</x:v>
      </x:c>
      <x:c r="C348" s="1" t="s">
        <x:v>112</x:v>
      </x:c>
      <x:c r="D348" s="1" t="s">
        <x:v>124</x:v>
      </x:c>
      <x:c r="E348" s="1" t="s">
        <x:v>120</x:v>
      </x:c>
      <x:c r="F348" s="1" t="s">
        <x:v>125</x:v>
      </x:c>
      <x:c r="G348" s="1" t="s">
        <x:v>116</x:v>
      </x:c>
      <x:c r="H348" s="1" t="s">
        <x:v>117</x:v>
      </x:c>
      <x:c r="I348" s="1" t="s">
        <x:v>111</x:v>
      </x:c>
      <x:c r="J348">
        <x:f t="shared" si="7"/>
        <x:v>0</x:v>
      </x:c>
      <x:c r="K348" t="n">
        <x:f>COUNTIFS(Grunnspill!$A:$A,Annex!B348)</x:f>
        <x:v>0</x:v>
      </x:c>
      <x:c r="L348" t="n">
        <x:f>COUNTIFS(Grunnspill!$A:$A,Annex!C348)</x:f>
        <x:v>0</x:v>
      </x:c>
      <x:c r="M348" t="n">
        <x:f>COUNTIFS(Grunnspill!$A:$A,Annex!D348)</x:f>
        <x:v>0</x:v>
      </x:c>
      <x:c r="N348" t="n">
        <x:f>COUNTIFS(Grunnspill!$A:$A,Annex!E348)</x:f>
        <x:v>0</x:v>
      </x:c>
      <x:c r="O348" t="n">
        <x:f>COUNTIFS(Grunnspill!$A:$A,Annex!F348)</x:f>
        <x:v>0</x:v>
      </x:c>
      <x:c r="P348" t="n">
        <x:f>COUNTIFS(Grunnspill!$A:$A,Annex!G348)</x:f>
        <x:v>0</x:v>
      </x:c>
      <x:c r="Q348" t="n">
        <x:f>COUNTIFS(Grunnspill!$A:$A,Annex!H348)</x:f>
        <x:v>0</x:v>
      </x:c>
      <x:c r="R348" t="n">
        <x:f>COUNTIFS(Grunnspill!$A:$A,Annex!I348)</x:f>
        <x:v>0</x:v>
      </x:c>
    </x:row>
    <x:row r="349">
      <x:c r="A349">
        <x:v>346</x:v>
      </x:c>
      <x:c r="B349" s="1" t="s">
        <x:v>115</x:v>
      </x:c>
      <x:c r="C349" s="1" t="s">
        <x:v>112</x:v>
      </x:c>
      <x:c r="D349" s="1" t="s">
        <x:v>124</x:v>
      </x:c>
      <x:c r="E349" s="1" t="s">
        <x:v>120</x:v>
      </x:c>
      <x:c r="F349" s="1" t="s">
        <x:v>125</x:v>
      </x:c>
      <x:c r="G349" s="1" t="s">
        <x:v>116</x:v>
      </x:c>
      <x:c r="H349" s="1" t="s">
        <x:v>111</x:v>
      </x:c>
      <x:c r="I349" s="1" t="s">
        <x:v>118</x:v>
      </x:c>
      <x:c r="J349">
        <x:f t="shared" si="7"/>
        <x:v>0</x:v>
      </x:c>
      <x:c r="K349" t="n">
        <x:f>COUNTIFS(Grunnspill!$A:$A,Annex!B349)</x:f>
        <x:v>0</x:v>
      </x:c>
      <x:c r="L349" t="n">
        <x:f>COUNTIFS(Grunnspill!$A:$A,Annex!C349)</x:f>
        <x:v>0</x:v>
      </x:c>
      <x:c r="M349" t="n">
        <x:f>COUNTIFS(Grunnspill!$A:$A,Annex!D349)</x:f>
        <x:v>0</x:v>
      </x:c>
      <x:c r="N349" t="n">
        <x:f>COUNTIFS(Grunnspill!$A:$A,Annex!E349)</x:f>
        <x:v>0</x:v>
      </x:c>
      <x:c r="O349" t="n">
        <x:f>COUNTIFS(Grunnspill!$A:$A,Annex!F349)</x:f>
        <x:v>0</x:v>
      </x:c>
      <x:c r="P349" t="n">
        <x:f>COUNTIFS(Grunnspill!$A:$A,Annex!G349)</x:f>
        <x:v>0</x:v>
      </x:c>
      <x:c r="Q349" t="n">
        <x:f>COUNTIFS(Grunnspill!$A:$A,Annex!H349)</x:f>
        <x:v>0</x:v>
      </x:c>
      <x:c r="R349" t="n">
        <x:f>COUNTIFS(Grunnspill!$A:$A,Annex!I349)</x:f>
        <x:v>0</x:v>
      </x:c>
    </x:row>
    <x:row r="350">
      <x:c r="A350">
        <x:v>347</x:v>
      </x:c>
      <x:c r="B350" s="1" t="s">
        <x:v>111</x:v>
      </x:c>
      <x:c r="C350" s="1" t="s">
        <x:v>116</x:v>
      </x:c>
      <x:c r="D350" s="1" t="s">
        <x:v>124</x:v>
      </x:c>
      <x:c r="E350" s="1" t="s">
        <x:v>120</x:v>
      </x:c>
      <x:c r="F350" s="1" t="s">
        <x:v>125</x:v>
      </x:c>
      <x:c r="G350" s="1" t="s">
        <x:v>115</x:v>
      </x:c>
      <x:c r="H350" s="1" t="s">
        <x:v>117</x:v>
      </x:c>
      <x:c r="I350" s="1" t="s">
        <x:v>113</x:v>
      </x:c>
      <x:c r="J350">
        <x:f t="shared" si="7"/>
        <x:v>0</x:v>
      </x:c>
      <x:c r="K350" t="n">
        <x:f>COUNTIFS(Grunnspill!$A:$A,Annex!B350)</x:f>
        <x:v>0</x:v>
      </x:c>
      <x:c r="L350" t="n">
        <x:f>COUNTIFS(Grunnspill!$A:$A,Annex!C350)</x:f>
        <x:v>0</x:v>
      </x:c>
      <x:c r="M350" t="n">
        <x:f>COUNTIFS(Grunnspill!$A:$A,Annex!D350)</x:f>
        <x:v>0</x:v>
      </x:c>
      <x:c r="N350" t="n">
        <x:f>COUNTIFS(Grunnspill!$A:$A,Annex!E350)</x:f>
        <x:v>0</x:v>
      </x:c>
      <x:c r="O350" t="n">
        <x:f>COUNTIFS(Grunnspill!$A:$A,Annex!F350)</x:f>
        <x:v>0</x:v>
      </x:c>
      <x:c r="P350" t="n">
        <x:f>COUNTIFS(Grunnspill!$A:$A,Annex!G350)</x:f>
        <x:v>0</x:v>
      </x:c>
      <x:c r="Q350" t="n">
        <x:f>COUNTIFS(Grunnspill!$A:$A,Annex!H350)</x:f>
        <x:v>0</x:v>
      </x:c>
      <x:c r="R350" t="n">
        <x:f>COUNTIFS(Grunnspill!$A:$A,Annex!I350)</x:f>
        <x:v>0</x:v>
      </x:c>
    </x:row>
    <x:row r="351">
      <x:c r="A351">
        <x:v>348</x:v>
      </x:c>
      <x:c r="B351" s="1" t="s">
        <x:v>111</x:v>
      </x:c>
      <x:c r="C351" s="1" t="s">
        <x:v>116</x:v>
      </x:c>
      <x:c r="D351" s="1" t="s">
        <x:v>124</x:v>
      </x:c>
      <x:c r="E351" s="1" t="s">
        <x:v>120</x:v>
      </x:c>
      <x:c r="F351" s="1" t="s">
        <x:v>125</x:v>
      </x:c>
      <x:c r="G351" s="1" t="s">
        <x:v>115</x:v>
      </x:c>
      <x:c r="H351" s="1" t="s">
        <x:v>113</x:v>
      </x:c>
      <x:c r="I351" s="1" t="s">
        <x:v>118</x:v>
      </x:c>
      <x:c r="J351">
        <x:f t="shared" si="7"/>
        <x:v>0</x:v>
      </x:c>
      <x:c r="K351" t="n">
        <x:f>COUNTIFS(Grunnspill!$A:$A,Annex!B351)</x:f>
        <x:v>0</x:v>
      </x:c>
      <x:c r="L351" t="n">
        <x:f>COUNTIFS(Grunnspill!$A:$A,Annex!C351)</x:f>
        <x:v>0</x:v>
      </x:c>
      <x:c r="M351" t="n">
        <x:f>COUNTIFS(Grunnspill!$A:$A,Annex!D351)</x:f>
        <x:v>0</x:v>
      </x:c>
      <x:c r="N351" t="n">
        <x:f>COUNTIFS(Grunnspill!$A:$A,Annex!E351)</x:f>
        <x:v>0</x:v>
      </x:c>
      <x:c r="O351" t="n">
        <x:f>COUNTIFS(Grunnspill!$A:$A,Annex!F351)</x:f>
        <x:v>0</x:v>
      </x:c>
      <x:c r="P351" t="n">
        <x:f>COUNTIFS(Grunnspill!$A:$A,Annex!G351)</x:f>
        <x:v>0</x:v>
      </x:c>
      <x:c r="Q351" t="n">
        <x:f>COUNTIFS(Grunnspill!$A:$A,Annex!H351)</x:f>
        <x:v>0</x:v>
      </x:c>
      <x:c r="R351" t="n">
        <x:f>COUNTIFS(Grunnspill!$A:$A,Annex!I351)</x:f>
        <x:v>0</x:v>
      </x:c>
    </x:row>
    <x:row r="352">
      <x:c r="A352">
        <x:v>349</x:v>
      </x:c>
      <x:c r="B352" s="1" t="s">
        <x:v>115</x:v>
      </x:c>
      <x:c r="C352" s="1" t="s">
        <x:v>112</x:v>
      </x:c>
      <x:c r="D352" s="1" t="s">
        <x:v>124</x:v>
      </x:c>
      <x:c r="E352" s="1" t="s">
        <x:v>120</x:v>
      </x:c>
      <x:c r="F352" s="1" t="s">
        <x:v>125</x:v>
      </x:c>
      <x:c r="G352" s="1" t="s">
        <x:v>116</x:v>
      </x:c>
      <x:c r="H352" s="1" t="s">
        <x:v>111</x:v>
      </x:c>
      <x:c r="I352" s="1" t="s">
        <x:v>113</x:v>
      </x:c>
      <x:c r="J352">
        <x:f t="shared" si="7"/>
        <x:v>0</x:v>
      </x:c>
      <x:c r="K352" t="n">
        <x:f>COUNTIFS(Grunnspill!$A:$A,Annex!B352)</x:f>
        <x:v>0</x:v>
      </x:c>
      <x:c r="L352" t="n">
        <x:f>COUNTIFS(Grunnspill!$A:$A,Annex!C352)</x:f>
        <x:v>0</x:v>
      </x:c>
      <x:c r="M352" t="n">
        <x:f>COUNTIFS(Grunnspill!$A:$A,Annex!D352)</x:f>
        <x:v>0</x:v>
      </x:c>
      <x:c r="N352" t="n">
        <x:f>COUNTIFS(Grunnspill!$A:$A,Annex!E352)</x:f>
        <x:v>0</x:v>
      </x:c>
      <x:c r="O352" t="n">
        <x:f>COUNTIFS(Grunnspill!$A:$A,Annex!F352)</x:f>
        <x:v>0</x:v>
      </x:c>
      <x:c r="P352" t="n">
        <x:f>COUNTIFS(Grunnspill!$A:$A,Annex!G352)</x:f>
        <x:v>0</x:v>
      </x:c>
      <x:c r="Q352" t="n">
        <x:f>COUNTIFS(Grunnspill!$A:$A,Annex!H352)</x:f>
        <x:v>0</x:v>
      </x:c>
      <x:c r="R352" t="n">
        <x:f>COUNTIFS(Grunnspill!$A:$A,Annex!I352)</x:f>
        <x:v>0</x:v>
      </x:c>
    </x:row>
    <x:row r="353">
      <x:c r="A353">
        <x:v>350</x:v>
      </x:c>
      <x:c r="B353" s="1" t="s">
        <x:v>111</x:v>
      </x:c>
      <x:c r="C353" s="1" t="s">
        <x:v>112</x:v>
      </x:c>
      <x:c r="D353" s="1" t="s">
        <x:v>124</x:v>
      </x:c>
      <x:c r="E353" s="1" t="s">
        <x:v>120</x:v>
      </x:c>
      <x:c r="F353" s="1" t="s">
        <x:v>125</x:v>
      </x:c>
      <x:c r="G353" s="1" t="s">
        <x:v>114</x:v>
      </x:c>
      <x:c r="H353" s="1" t="s">
        <x:v>117</x:v>
      </x:c>
      <x:c r="I353" s="1" t="s">
        <x:v>118</x:v>
      </x:c>
      <x:c r="J353">
        <x:f t="shared" si="7"/>
        <x:v>0</x:v>
      </x:c>
      <x:c r="K353" t="n">
        <x:f>COUNTIFS(Grunnspill!$A:$A,Annex!B353)</x:f>
        <x:v>0</x:v>
      </x:c>
      <x:c r="L353" t="n">
        <x:f>COUNTIFS(Grunnspill!$A:$A,Annex!C353)</x:f>
        <x:v>0</x:v>
      </x:c>
      <x:c r="M353" t="n">
        <x:f>COUNTIFS(Grunnspill!$A:$A,Annex!D353)</x:f>
        <x:v>0</x:v>
      </x:c>
      <x:c r="N353" t="n">
        <x:f>COUNTIFS(Grunnspill!$A:$A,Annex!E353)</x:f>
        <x:v>0</x:v>
      </x:c>
      <x:c r="O353" t="n">
        <x:f>COUNTIFS(Grunnspill!$A:$A,Annex!F353)</x:f>
        <x:v>0</x:v>
      </x:c>
      <x:c r="P353" t="n">
        <x:f>COUNTIFS(Grunnspill!$A:$A,Annex!G353)</x:f>
        <x:v>0</x:v>
      </x:c>
      <x:c r="Q353" t="n">
        <x:f>COUNTIFS(Grunnspill!$A:$A,Annex!H353)</x:f>
        <x:v>0</x:v>
      </x:c>
      <x:c r="R353" t="n">
        <x:f>COUNTIFS(Grunnspill!$A:$A,Annex!I353)</x:f>
        <x:v>0</x:v>
      </x:c>
    </x:row>
    <x:row r="354">
      <x:c r="A354">
        <x:v>351</x:v>
      </x:c>
      <x:c r="B354" s="1" t="s">
        <x:v>111</x:v>
      </x:c>
      <x:c r="C354" s="1" t="s">
        <x:v>113</x:v>
      </x:c>
      <x:c r="D354" s="1" t="s">
        <x:v>124</x:v>
      </x:c>
      <x:c r="E354" s="1" t="s">
        <x:v>120</x:v>
      </x:c>
      <x:c r="F354" s="1" t="s">
        <x:v>125</x:v>
      </x:c>
      <x:c r="G354" s="1" t="s">
        <x:v>114</x:v>
      </x:c>
      <x:c r="H354" s="1" t="s">
        <x:v>117</x:v>
      </x:c>
      <x:c r="I354" s="1" t="s">
        <x:v>118</x:v>
      </x:c>
      <x:c r="J354">
        <x:f t="shared" si="7"/>
        <x:v>0</x:v>
      </x:c>
      <x:c r="K354" t="n">
        <x:f>COUNTIFS(Grunnspill!$A:$A,Annex!B354)</x:f>
        <x:v>0</x:v>
      </x:c>
      <x:c r="L354" t="n">
        <x:f>COUNTIFS(Grunnspill!$A:$A,Annex!C354)</x:f>
        <x:v>0</x:v>
      </x:c>
      <x:c r="M354" t="n">
        <x:f>COUNTIFS(Grunnspill!$A:$A,Annex!D354)</x:f>
        <x:v>0</x:v>
      </x:c>
      <x:c r="N354" t="n">
        <x:f>COUNTIFS(Grunnspill!$A:$A,Annex!E354)</x:f>
        <x:v>0</x:v>
      </x:c>
      <x:c r="O354" t="n">
        <x:f>COUNTIFS(Grunnspill!$A:$A,Annex!F354)</x:f>
        <x:v>0</x:v>
      </x:c>
      <x:c r="P354" t="n">
        <x:f>COUNTIFS(Grunnspill!$A:$A,Annex!G354)</x:f>
        <x:v>0</x:v>
      </x:c>
      <x:c r="Q354" t="n">
        <x:f>COUNTIFS(Grunnspill!$A:$A,Annex!H354)</x:f>
        <x:v>0</x:v>
      </x:c>
      <x:c r="R354" t="n">
        <x:f>COUNTIFS(Grunnspill!$A:$A,Annex!I354)</x:f>
        <x:v>0</x:v>
      </x:c>
    </x:row>
    <x:row r="355">
      <x:c r="A355">
        <x:v>352</x:v>
      </x:c>
      <x:c r="B355" s="1" t="s">
        <x:v>111</x:v>
      </x:c>
      <x:c r="C355" s="1" t="s">
        <x:v>112</x:v>
      </x:c>
      <x:c r="D355" s="1" t="s">
        <x:v>124</x:v>
      </x:c>
      <x:c r="E355" s="1" t="s">
        <x:v>120</x:v>
      </x:c>
      <x:c r="F355" s="1" t="s">
        <x:v>125</x:v>
      </x:c>
      <x:c r="G355" s="1" t="s">
        <x:v>114</x:v>
      </x:c>
      <x:c r="H355" s="1" t="s">
        <x:v>117</x:v>
      </x:c>
      <x:c r="I355" s="1" t="s">
        <x:v>113</x:v>
      </x:c>
      <x:c r="J355">
        <x:f t="shared" si="7"/>
        <x:v>0</x:v>
      </x:c>
      <x:c r="K355" t="n">
        <x:f>COUNTIFS(Grunnspill!$A:$A,Annex!B355)</x:f>
        <x:v>0</x:v>
      </x:c>
      <x:c r="L355" t="n">
        <x:f>COUNTIFS(Grunnspill!$A:$A,Annex!C355)</x:f>
        <x:v>0</x:v>
      </x:c>
      <x:c r="M355" t="n">
        <x:f>COUNTIFS(Grunnspill!$A:$A,Annex!D355)</x:f>
        <x:v>0</x:v>
      </x:c>
      <x:c r="N355" t="n">
        <x:f>COUNTIFS(Grunnspill!$A:$A,Annex!E355)</x:f>
        <x:v>0</x:v>
      </x:c>
      <x:c r="O355" t="n">
        <x:f>COUNTIFS(Grunnspill!$A:$A,Annex!F355)</x:f>
        <x:v>0</x:v>
      </x:c>
      <x:c r="P355" t="n">
        <x:f>COUNTIFS(Grunnspill!$A:$A,Annex!G355)</x:f>
        <x:v>0</x:v>
      </x:c>
      <x:c r="Q355" t="n">
        <x:f>COUNTIFS(Grunnspill!$A:$A,Annex!H355)</x:f>
        <x:v>0</x:v>
      </x:c>
      <x:c r="R355" t="n">
        <x:f>COUNTIFS(Grunnspill!$A:$A,Annex!I355)</x:f>
        <x:v>0</x:v>
      </x:c>
    </x:row>
    <x:row r="356">
      <x:c r="A356">
        <x:v>353</x:v>
      </x:c>
      <x:c r="B356" s="1" t="s">
        <x:v>111</x:v>
      </x:c>
      <x:c r="C356" s="1" t="s">
        <x:v>112</x:v>
      </x:c>
      <x:c r="D356" s="1" t="s">
        <x:v>124</x:v>
      </x:c>
      <x:c r="E356" s="1" t="s">
        <x:v>120</x:v>
      </x:c>
      <x:c r="F356" s="1" t="s">
        <x:v>125</x:v>
      </x:c>
      <x:c r="G356" s="1" t="s">
        <x:v>114</x:v>
      </x:c>
      <x:c r="H356" s="1" t="s">
        <x:v>113</x:v>
      </x:c>
      <x:c r="I356" s="1" t="s">
        <x:v>118</x:v>
      </x:c>
      <x:c r="J356">
        <x:f t="shared" si="7"/>
        <x:v>0</x:v>
      </x:c>
      <x:c r="K356" t="n">
        <x:f>COUNTIFS(Grunnspill!$A:$A,Annex!B356)</x:f>
        <x:v>0</x:v>
      </x:c>
      <x:c r="L356" t="n">
        <x:f>COUNTIFS(Grunnspill!$A:$A,Annex!C356)</x:f>
        <x:v>0</x:v>
      </x:c>
      <x:c r="M356" t="n">
        <x:f>COUNTIFS(Grunnspill!$A:$A,Annex!D356)</x:f>
        <x:v>0</x:v>
      </x:c>
      <x:c r="N356" t="n">
        <x:f>COUNTIFS(Grunnspill!$A:$A,Annex!E356)</x:f>
        <x:v>0</x:v>
      </x:c>
      <x:c r="O356" t="n">
        <x:f>COUNTIFS(Grunnspill!$A:$A,Annex!F356)</x:f>
        <x:v>0</x:v>
      </x:c>
      <x:c r="P356" t="n">
        <x:f>COUNTIFS(Grunnspill!$A:$A,Annex!G356)</x:f>
        <x:v>0</x:v>
      </x:c>
      <x:c r="Q356" t="n">
        <x:f>COUNTIFS(Grunnspill!$A:$A,Annex!H356)</x:f>
        <x:v>0</x:v>
      </x:c>
      <x:c r="R356" t="n">
        <x:f>COUNTIFS(Grunnspill!$A:$A,Annex!I356)</x:f>
        <x:v>0</x:v>
      </x:c>
    </x:row>
    <x:row r="357">
      <x:c r="A357">
        <x:v>354</x:v>
      </x:c>
      <x:c r="B357" s="1" t="s">
        <x:v>115</x:v>
      </x:c>
      <x:c r="C357" s="1" t="s">
        <x:v>111</x:v>
      </x:c>
      <x:c r="D357" s="1" t="s">
        <x:v>124</x:v>
      </x:c>
      <x:c r="E357" s="1" t="s">
        <x:v>120</x:v>
      </x:c>
      <x:c r="F357" s="1" t="s">
        <x:v>125</x:v>
      </x:c>
      <x:c r="G357" s="1" t="s">
        <x:v>114</x:v>
      </x:c>
      <x:c r="H357" s="1" t="s">
        <x:v>117</x:v>
      </x:c>
      <x:c r="I357" s="1" t="s">
        <x:v>118</x:v>
      </x:c>
      <x:c r="J357">
        <x:f t="shared" si="7"/>
        <x:v>0</x:v>
      </x:c>
      <x:c r="K357" t="n">
        <x:f>COUNTIFS(Grunnspill!$A:$A,Annex!B357)</x:f>
        <x:v>0</x:v>
      </x:c>
      <x:c r="L357" t="n">
        <x:f>COUNTIFS(Grunnspill!$A:$A,Annex!C357)</x:f>
        <x:v>0</x:v>
      </x:c>
      <x:c r="M357" t="n">
        <x:f>COUNTIFS(Grunnspill!$A:$A,Annex!D357)</x:f>
        <x:v>0</x:v>
      </x:c>
      <x:c r="N357" t="n">
        <x:f>COUNTIFS(Grunnspill!$A:$A,Annex!E357)</x:f>
        <x:v>0</x:v>
      </x:c>
      <x:c r="O357" t="n">
        <x:f>COUNTIFS(Grunnspill!$A:$A,Annex!F357)</x:f>
        <x:v>0</x:v>
      </x:c>
      <x:c r="P357" t="n">
        <x:f>COUNTIFS(Grunnspill!$A:$A,Annex!G357)</x:f>
        <x:v>0</x:v>
      </x:c>
      <x:c r="Q357" t="n">
        <x:f>COUNTIFS(Grunnspill!$A:$A,Annex!H357)</x:f>
        <x:v>0</x:v>
      </x:c>
      <x:c r="R357" t="n">
        <x:f>COUNTIFS(Grunnspill!$A:$A,Annex!I357)</x:f>
        <x:v>0</x:v>
      </x:c>
    </x:row>
    <x:row r="358">
      <x:c r="A358">
        <x:v>355</x:v>
      </x:c>
      <x:c r="B358" s="1" t="s">
        <x:v>115</x:v>
      </x:c>
      <x:c r="C358" s="1" t="s">
        <x:v>112</x:v>
      </x:c>
      <x:c r="D358" s="1" t="s">
        <x:v>124</x:v>
      </x:c>
      <x:c r="E358" s="1" t="s">
        <x:v>120</x:v>
      </x:c>
      <x:c r="F358" s="1" t="s">
        <x:v>125</x:v>
      </x:c>
      <x:c r="G358" s="1" t="s">
        <x:v>114</x:v>
      </x:c>
      <x:c r="H358" s="1" t="s">
        <x:v>117</x:v>
      </x:c>
      <x:c r="I358" s="1" t="s">
        <x:v>111</x:v>
      </x:c>
      <x:c r="J358">
        <x:f t="shared" si="7"/>
        <x:v>0</x:v>
      </x:c>
      <x:c r="K358" t="n">
        <x:f>COUNTIFS(Grunnspill!$A:$A,Annex!B358)</x:f>
        <x:v>0</x:v>
      </x:c>
      <x:c r="L358" t="n">
        <x:f>COUNTIFS(Grunnspill!$A:$A,Annex!C358)</x:f>
        <x:v>0</x:v>
      </x:c>
      <x:c r="M358" t="n">
        <x:f>COUNTIFS(Grunnspill!$A:$A,Annex!D358)</x:f>
        <x:v>0</x:v>
      </x:c>
      <x:c r="N358" t="n">
        <x:f>COUNTIFS(Grunnspill!$A:$A,Annex!E358)</x:f>
        <x:v>0</x:v>
      </x:c>
      <x:c r="O358" t="n">
        <x:f>COUNTIFS(Grunnspill!$A:$A,Annex!F358)</x:f>
        <x:v>0</x:v>
      </x:c>
      <x:c r="P358" t="n">
        <x:f>COUNTIFS(Grunnspill!$A:$A,Annex!G358)</x:f>
        <x:v>0</x:v>
      </x:c>
      <x:c r="Q358" t="n">
        <x:f>COUNTIFS(Grunnspill!$A:$A,Annex!H358)</x:f>
        <x:v>0</x:v>
      </x:c>
      <x:c r="R358" t="n">
        <x:f>COUNTIFS(Grunnspill!$A:$A,Annex!I358)</x:f>
        <x:v>0</x:v>
      </x:c>
    </x:row>
    <x:row r="359">
      <x:c r="A359">
        <x:v>356</x:v>
      </x:c>
      <x:c r="B359" s="1" t="s">
        <x:v>115</x:v>
      </x:c>
      <x:c r="C359" s="1" t="s">
        <x:v>112</x:v>
      </x:c>
      <x:c r="D359" s="1" t="s">
        <x:v>124</x:v>
      </x:c>
      <x:c r="E359" s="1" t="s">
        <x:v>120</x:v>
      </x:c>
      <x:c r="F359" s="1" t="s">
        <x:v>125</x:v>
      </x:c>
      <x:c r="G359" s="1" t="s">
        <x:v>114</x:v>
      </x:c>
      <x:c r="H359" s="1" t="s">
        <x:v>111</x:v>
      </x:c>
      <x:c r="I359" s="1" t="s">
        <x:v>118</x:v>
      </x:c>
      <x:c r="J359">
        <x:f t="shared" si="7"/>
        <x:v>0</x:v>
      </x:c>
      <x:c r="K359" t="n">
        <x:f>COUNTIFS(Grunnspill!$A:$A,Annex!B359)</x:f>
        <x:v>0</x:v>
      </x:c>
      <x:c r="L359" t="n">
        <x:f>COUNTIFS(Grunnspill!$A:$A,Annex!C359)</x:f>
        <x:v>0</x:v>
      </x:c>
      <x:c r="M359" t="n">
        <x:f>COUNTIFS(Grunnspill!$A:$A,Annex!D359)</x:f>
        <x:v>0</x:v>
      </x:c>
      <x:c r="N359" t="n">
        <x:f>COUNTIFS(Grunnspill!$A:$A,Annex!E359)</x:f>
        <x:v>0</x:v>
      </x:c>
      <x:c r="O359" t="n">
        <x:f>COUNTIFS(Grunnspill!$A:$A,Annex!F359)</x:f>
        <x:v>0</x:v>
      </x:c>
      <x:c r="P359" t="n">
        <x:f>COUNTIFS(Grunnspill!$A:$A,Annex!G359)</x:f>
        <x:v>0</x:v>
      </x:c>
      <x:c r="Q359" t="n">
        <x:f>COUNTIFS(Grunnspill!$A:$A,Annex!H359)</x:f>
        <x:v>0</x:v>
      </x:c>
      <x:c r="R359" t="n">
        <x:f>COUNTIFS(Grunnspill!$A:$A,Annex!I359)</x:f>
        <x:v>0</x:v>
      </x:c>
    </x:row>
    <x:row r="360">
      <x:c r="A360">
        <x:v>357</x:v>
      </x:c>
      <x:c r="B360" s="1" t="s">
        <x:v>115</x:v>
      </x:c>
      <x:c r="C360" s="1" t="s">
        <x:v>111</x:v>
      </x:c>
      <x:c r="D360" s="1" t="s">
        <x:v>124</x:v>
      </x:c>
      <x:c r="E360" s="1" t="s">
        <x:v>120</x:v>
      </x:c>
      <x:c r="F360" s="1" t="s">
        <x:v>125</x:v>
      </x:c>
      <x:c r="G360" s="1" t="s">
        <x:v>114</x:v>
      </x:c>
      <x:c r="H360" s="1" t="s">
        <x:v>117</x:v>
      </x:c>
      <x:c r="I360" s="1" t="s">
        <x:v>113</x:v>
      </x:c>
      <x:c r="J360">
        <x:f t="shared" si="7"/>
        <x:v>0</x:v>
      </x:c>
      <x:c r="K360" t="n">
        <x:f>COUNTIFS(Grunnspill!$A:$A,Annex!B360)</x:f>
        <x:v>0</x:v>
      </x:c>
      <x:c r="L360" t="n">
        <x:f>COUNTIFS(Grunnspill!$A:$A,Annex!C360)</x:f>
        <x:v>0</x:v>
      </x:c>
      <x:c r="M360" t="n">
        <x:f>COUNTIFS(Grunnspill!$A:$A,Annex!D360)</x:f>
        <x:v>0</x:v>
      </x:c>
      <x:c r="N360" t="n">
        <x:f>COUNTIFS(Grunnspill!$A:$A,Annex!E360)</x:f>
        <x:v>0</x:v>
      </x:c>
      <x:c r="O360" t="n">
        <x:f>COUNTIFS(Grunnspill!$A:$A,Annex!F360)</x:f>
        <x:v>0</x:v>
      </x:c>
      <x:c r="P360" t="n">
        <x:f>COUNTIFS(Grunnspill!$A:$A,Annex!G360)</x:f>
        <x:v>0</x:v>
      </x:c>
      <x:c r="Q360" t="n">
        <x:f>COUNTIFS(Grunnspill!$A:$A,Annex!H360)</x:f>
        <x:v>0</x:v>
      </x:c>
      <x:c r="R360" t="n">
        <x:f>COUNTIFS(Grunnspill!$A:$A,Annex!I360)</x:f>
        <x:v>0</x:v>
      </x:c>
    </x:row>
    <x:row r="361">
      <x:c r="A361">
        <x:v>358</x:v>
      </x:c>
      <x:c r="B361" s="1" t="s">
        <x:v>115</x:v>
      </x:c>
      <x:c r="C361" s="1" t="s">
        <x:v>111</x:v>
      </x:c>
      <x:c r="D361" s="1" t="s">
        <x:v>124</x:v>
      </x:c>
      <x:c r="E361" s="1" t="s">
        <x:v>120</x:v>
      </x:c>
      <x:c r="F361" s="1" t="s">
        <x:v>125</x:v>
      </x:c>
      <x:c r="G361" s="1" t="s">
        <x:v>114</x:v>
      </x:c>
      <x:c r="H361" s="1" t="s">
        <x:v>113</x:v>
      </x:c>
      <x:c r="I361" s="1" t="s">
        <x:v>118</x:v>
      </x:c>
      <x:c r="J361">
        <x:f t="shared" si="7"/>
        <x:v>0</x:v>
      </x:c>
      <x:c r="K361" t="n">
        <x:f>COUNTIFS(Grunnspill!$A:$A,Annex!B361)</x:f>
        <x:v>0</x:v>
      </x:c>
      <x:c r="L361" t="n">
        <x:f>COUNTIFS(Grunnspill!$A:$A,Annex!C361)</x:f>
        <x:v>0</x:v>
      </x:c>
      <x:c r="M361" t="n">
        <x:f>COUNTIFS(Grunnspill!$A:$A,Annex!D361)</x:f>
        <x:v>0</x:v>
      </x:c>
      <x:c r="N361" t="n">
        <x:f>COUNTIFS(Grunnspill!$A:$A,Annex!E361)</x:f>
        <x:v>0</x:v>
      </x:c>
      <x:c r="O361" t="n">
        <x:f>COUNTIFS(Grunnspill!$A:$A,Annex!F361)</x:f>
        <x:v>0</x:v>
      </x:c>
      <x:c r="P361" t="n">
        <x:f>COUNTIFS(Grunnspill!$A:$A,Annex!G361)</x:f>
        <x:v>0</x:v>
      </x:c>
      <x:c r="Q361" t="n">
        <x:f>COUNTIFS(Grunnspill!$A:$A,Annex!H361)</x:f>
        <x:v>0</x:v>
      </x:c>
      <x:c r="R361" t="n">
        <x:f>COUNTIFS(Grunnspill!$A:$A,Annex!I361)</x:f>
        <x:v>0</x:v>
      </x:c>
    </x:row>
    <x:row r="362">
      <x:c r="A362">
        <x:v>359</x:v>
      </x:c>
      <x:c r="B362" s="1" t="s">
        <x:v>115</x:v>
      </x:c>
      <x:c r="C362" s="1" t="s">
        <x:v>112</x:v>
      </x:c>
      <x:c r="D362" s="1" t="s">
        <x:v>124</x:v>
      </x:c>
      <x:c r="E362" s="1" t="s">
        <x:v>120</x:v>
      </x:c>
      <x:c r="F362" s="1" t="s">
        <x:v>125</x:v>
      </x:c>
      <x:c r="G362" s="1" t="s">
        <x:v>114</x:v>
      </x:c>
      <x:c r="H362" s="1" t="s">
        <x:v>111</x:v>
      </x:c>
      <x:c r="I362" s="1" t="s">
        <x:v>113</x:v>
      </x:c>
      <x:c r="J362">
        <x:f t="shared" si="7"/>
        <x:v>0</x:v>
      </x:c>
      <x:c r="K362" t="n">
        <x:f>COUNTIFS(Grunnspill!$A:$A,Annex!B362)</x:f>
        <x:v>0</x:v>
      </x:c>
      <x:c r="L362" t="n">
        <x:f>COUNTIFS(Grunnspill!$A:$A,Annex!C362)</x:f>
        <x:v>0</x:v>
      </x:c>
      <x:c r="M362" t="n">
        <x:f>COUNTIFS(Grunnspill!$A:$A,Annex!D362)</x:f>
        <x:v>0</x:v>
      </x:c>
      <x:c r="N362" t="n">
        <x:f>COUNTIFS(Grunnspill!$A:$A,Annex!E362)</x:f>
        <x:v>0</x:v>
      </x:c>
      <x:c r="O362" t="n">
        <x:f>COUNTIFS(Grunnspill!$A:$A,Annex!F362)</x:f>
        <x:v>0</x:v>
      </x:c>
      <x:c r="P362" t="n">
        <x:f>COUNTIFS(Grunnspill!$A:$A,Annex!G362)</x:f>
        <x:v>0</x:v>
      </x:c>
      <x:c r="Q362" t="n">
        <x:f>COUNTIFS(Grunnspill!$A:$A,Annex!H362)</x:f>
        <x:v>0</x:v>
      </x:c>
      <x:c r="R362" t="n">
        <x:f>COUNTIFS(Grunnspill!$A:$A,Annex!I362)</x:f>
        <x:v>0</x:v>
      </x:c>
    </x:row>
    <x:row r="363">
      <x:c r="A363">
        <x:v>360</x:v>
      </x:c>
      <x:c r="B363" s="1" t="s">
        <x:v>111</x:v>
      </x:c>
      <x:c r="C363" s="1" t="s">
        <x:v>116</x:v>
      </x:c>
      <x:c r="D363" s="1" t="s">
        <x:v>124</x:v>
      </x:c>
      <x:c r="E363" s="1" t="s">
        <x:v>120</x:v>
      </x:c>
      <x:c r="F363" s="1" t="s">
        <x:v>125</x:v>
      </x:c>
      <x:c r="G363" s="1" t="s">
        <x:v>114</x:v>
      </x:c>
      <x:c r="H363" s="1" t="s">
        <x:v>117</x:v>
      </x:c>
      <x:c r="I363" s="1" t="s">
        <x:v>118</x:v>
      </x:c>
      <x:c r="J363">
        <x:f t="shared" si="7"/>
        <x:v>0</x:v>
      </x:c>
      <x:c r="K363" t="n">
        <x:f>COUNTIFS(Grunnspill!$A:$A,Annex!B363)</x:f>
        <x:v>0</x:v>
      </x:c>
      <x:c r="L363" t="n">
        <x:f>COUNTIFS(Grunnspill!$A:$A,Annex!C363)</x:f>
        <x:v>0</x:v>
      </x:c>
      <x:c r="M363" t="n">
        <x:f>COUNTIFS(Grunnspill!$A:$A,Annex!D363)</x:f>
        <x:v>0</x:v>
      </x:c>
      <x:c r="N363" t="n">
        <x:f>COUNTIFS(Grunnspill!$A:$A,Annex!E363)</x:f>
        <x:v>0</x:v>
      </x:c>
      <x:c r="O363" t="n">
        <x:f>COUNTIFS(Grunnspill!$A:$A,Annex!F363)</x:f>
        <x:v>0</x:v>
      </x:c>
      <x:c r="P363" t="n">
        <x:f>COUNTIFS(Grunnspill!$A:$A,Annex!G363)</x:f>
        <x:v>0</x:v>
      </x:c>
      <x:c r="Q363" t="n">
        <x:f>COUNTIFS(Grunnspill!$A:$A,Annex!H363)</x:f>
        <x:v>0</x:v>
      </x:c>
      <x:c r="R363" t="n">
        <x:f>COUNTIFS(Grunnspill!$A:$A,Annex!I363)</x:f>
        <x:v>0</x:v>
      </x:c>
    </x:row>
    <x:row r="364">
      <x:c r="A364">
        <x:v>361</x:v>
      </x:c>
      <x:c r="B364" s="1" t="s">
        <x:v>111</x:v>
      </x:c>
      <x:c r="C364" s="1" t="s">
        <x:v>116</x:v>
      </x:c>
      <x:c r="D364" s="1" t="s">
        <x:v>124</x:v>
      </x:c>
      <x:c r="E364" s="1" t="s">
        <x:v>120</x:v>
      </x:c>
      <x:c r="F364" s="1" t="s">
        <x:v>125</x:v>
      </x:c>
      <x:c r="G364" s="1" t="s">
        <x:v>114</x:v>
      </x:c>
      <x:c r="H364" s="1" t="s">
        <x:v>117</x:v>
      </x:c>
      <x:c r="I364" s="1" t="s">
        <x:v>112</x:v>
      </x:c>
      <x:c r="J364">
        <x:f t="shared" si="7"/>
        <x:v>0</x:v>
      </x:c>
      <x:c r="K364" t="n">
        <x:f>COUNTIFS(Grunnspill!$A:$A,Annex!B364)</x:f>
        <x:v>0</x:v>
      </x:c>
      <x:c r="L364" t="n">
        <x:f>COUNTIFS(Grunnspill!$A:$A,Annex!C364)</x:f>
        <x:v>0</x:v>
      </x:c>
      <x:c r="M364" t="n">
        <x:f>COUNTIFS(Grunnspill!$A:$A,Annex!D364)</x:f>
        <x:v>0</x:v>
      </x:c>
      <x:c r="N364" t="n">
        <x:f>COUNTIFS(Grunnspill!$A:$A,Annex!E364)</x:f>
        <x:v>0</x:v>
      </x:c>
      <x:c r="O364" t="n">
        <x:f>COUNTIFS(Grunnspill!$A:$A,Annex!F364)</x:f>
        <x:v>0</x:v>
      </x:c>
      <x:c r="P364" t="n">
        <x:f>COUNTIFS(Grunnspill!$A:$A,Annex!G364)</x:f>
        <x:v>0</x:v>
      </x:c>
      <x:c r="Q364" t="n">
        <x:f>COUNTIFS(Grunnspill!$A:$A,Annex!H364)</x:f>
        <x:v>0</x:v>
      </x:c>
      <x:c r="R364" t="n">
        <x:f>COUNTIFS(Grunnspill!$A:$A,Annex!I364)</x:f>
        <x:v>0</x:v>
      </x:c>
    </x:row>
    <x:row r="365">
      <x:c r="A365">
        <x:v>362</x:v>
      </x:c>
      <x:c r="B365" s="1" t="s">
        <x:v>111</x:v>
      </x:c>
      <x:c r="C365" s="1" t="s">
        <x:v>116</x:v>
      </x:c>
      <x:c r="D365" s="1" t="s">
        <x:v>124</x:v>
      </x:c>
      <x:c r="E365" s="1" t="s">
        <x:v>120</x:v>
      </x:c>
      <x:c r="F365" s="1" t="s">
        <x:v>125</x:v>
      </x:c>
      <x:c r="G365" s="1" t="s">
        <x:v>114</x:v>
      </x:c>
      <x:c r="H365" s="1" t="s">
        <x:v>112</x:v>
      </x:c>
      <x:c r="I365" s="1" t="s">
        <x:v>118</x:v>
      </x:c>
      <x:c r="J365">
        <x:f t="shared" si="7"/>
        <x:v>0</x:v>
      </x:c>
      <x:c r="K365" t="n">
        <x:f>COUNTIFS(Grunnspill!$A:$A,Annex!B365)</x:f>
        <x:v>0</x:v>
      </x:c>
      <x:c r="L365" t="n">
        <x:f>COUNTIFS(Grunnspill!$A:$A,Annex!C365)</x:f>
        <x:v>0</x:v>
      </x:c>
      <x:c r="M365" t="n">
        <x:f>COUNTIFS(Grunnspill!$A:$A,Annex!D365)</x:f>
        <x:v>0</x:v>
      </x:c>
      <x:c r="N365" t="n">
        <x:f>COUNTIFS(Grunnspill!$A:$A,Annex!E365)</x:f>
        <x:v>0</x:v>
      </x:c>
      <x:c r="O365" t="n">
        <x:f>COUNTIFS(Grunnspill!$A:$A,Annex!F365)</x:f>
        <x:v>0</x:v>
      </x:c>
      <x:c r="P365" t="n">
        <x:f>COUNTIFS(Grunnspill!$A:$A,Annex!G365)</x:f>
        <x:v>0</x:v>
      </x:c>
      <x:c r="Q365" t="n">
        <x:f>COUNTIFS(Grunnspill!$A:$A,Annex!H365)</x:f>
        <x:v>0</x:v>
      </x:c>
      <x:c r="R365" t="n">
        <x:f>COUNTIFS(Grunnspill!$A:$A,Annex!I365)</x:f>
        <x:v>0</x:v>
      </x:c>
    </x:row>
    <x:row r="366">
      <x:c r="A366">
        <x:v>363</x:v>
      </x:c>
      <x:c r="B366" s="1" t="s">
        <x:v>111</x:v>
      </x:c>
      <x:c r="C366" s="1" t="s">
        <x:v>116</x:v>
      </x:c>
      <x:c r="D366" s="1" t="s">
        <x:v>124</x:v>
      </x:c>
      <x:c r="E366" s="1" t="s">
        <x:v>120</x:v>
      </x:c>
      <x:c r="F366" s="1" t="s">
        <x:v>125</x:v>
      </x:c>
      <x:c r="G366" s="1" t="s">
        <x:v>114</x:v>
      </x:c>
      <x:c r="H366" s="1" t="s">
        <x:v>117</x:v>
      </x:c>
      <x:c r="I366" s="1" t="s">
        <x:v>113</x:v>
      </x:c>
      <x:c r="J366">
        <x:f t="shared" si="7"/>
        <x:v>0</x:v>
      </x:c>
      <x:c r="K366" t="n">
        <x:f>COUNTIFS(Grunnspill!$A:$A,Annex!B366)</x:f>
        <x:v>0</x:v>
      </x:c>
      <x:c r="L366" t="n">
        <x:f>COUNTIFS(Grunnspill!$A:$A,Annex!C366)</x:f>
        <x:v>0</x:v>
      </x:c>
      <x:c r="M366" t="n">
        <x:f>COUNTIFS(Grunnspill!$A:$A,Annex!D366)</x:f>
        <x:v>0</x:v>
      </x:c>
      <x:c r="N366" t="n">
        <x:f>COUNTIFS(Grunnspill!$A:$A,Annex!E366)</x:f>
        <x:v>0</x:v>
      </x:c>
      <x:c r="O366" t="n">
        <x:f>COUNTIFS(Grunnspill!$A:$A,Annex!F366)</x:f>
        <x:v>0</x:v>
      </x:c>
      <x:c r="P366" t="n">
        <x:f>COUNTIFS(Grunnspill!$A:$A,Annex!G366)</x:f>
        <x:v>0</x:v>
      </x:c>
      <x:c r="Q366" t="n">
        <x:f>COUNTIFS(Grunnspill!$A:$A,Annex!H366)</x:f>
        <x:v>0</x:v>
      </x:c>
      <x:c r="R366" t="n">
        <x:f>COUNTIFS(Grunnspill!$A:$A,Annex!I366)</x:f>
        <x:v>0</x:v>
      </x:c>
    </x:row>
    <x:row r="367">
      <x:c r="A367">
        <x:v>364</x:v>
      </x:c>
      <x:c r="B367" s="1" t="s">
        <x:v>111</x:v>
      </x:c>
      <x:c r="C367" s="1" t="s">
        <x:v>116</x:v>
      </x:c>
      <x:c r="D367" s="1" t="s">
        <x:v>124</x:v>
      </x:c>
      <x:c r="E367" s="1" t="s">
        <x:v>120</x:v>
      </x:c>
      <x:c r="F367" s="1" t="s">
        <x:v>125</x:v>
      </x:c>
      <x:c r="G367" s="1" t="s">
        <x:v>114</x:v>
      </x:c>
      <x:c r="H367" s="1" t="s">
        <x:v>113</x:v>
      </x:c>
      <x:c r="I367" s="1" t="s">
        <x:v>118</x:v>
      </x:c>
      <x:c r="J367">
        <x:f t="shared" si="7"/>
        <x:v>0</x:v>
      </x:c>
      <x:c r="K367" t="n">
        <x:f>COUNTIFS(Grunnspill!$A:$A,Annex!B367)</x:f>
        <x:v>0</x:v>
      </x:c>
      <x:c r="L367" t="n">
        <x:f>COUNTIFS(Grunnspill!$A:$A,Annex!C367)</x:f>
        <x:v>0</x:v>
      </x:c>
      <x:c r="M367" t="n">
        <x:f>COUNTIFS(Grunnspill!$A:$A,Annex!D367)</x:f>
        <x:v>0</x:v>
      </x:c>
      <x:c r="N367" t="n">
        <x:f>COUNTIFS(Grunnspill!$A:$A,Annex!E367)</x:f>
        <x:v>0</x:v>
      </x:c>
      <x:c r="O367" t="n">
        <x:f>COUNTIFS(Grunnspill!$A:$A,Annex!F367)</x:f>
        <x:v>0</x:v>
      </x:c>
      <x:c r="P367" t="n">
        <x:f>COUNTIFS(Grunnspill!$A:$A,Annex!G367)</x:f>
        <x:v>0</x:v>
      </x:c>
      <x:c r="Q367" t="n">
        <x:f>COUNTIFS(Grunnspill!$A:$A,Annex!H367)</x:f>
        <x:v>0</x:v>
      </x:c>
      <x:c r="R367" t="n">
        <x:f>COUNTIFS(Grunnspill!$A:$A,Annex!I367)</x:f>
        <x:v>0</x:v>
      </x:c>
    </x:row>
    <x:row r="368">
      <x:c r="A368">
        <x:v>365</x:v>
      </x:c>
      <x:c r="B368" s="1" t="s">
        <x:v>111</x:v>
      </x:c>
      <x:c r="C368" s="1" t="s">
        <x:v>116</x:v>
      </x:c>
      <x:c r="D368" s="1" t="s">
        <x:v>124</x:v>
      </x:c>
      <x:c r="E368" s="1" t="s">
        <x:v>120</x:v>
      </x:c>
      <x:c r="F368" s="1" t="s">
        <x:v>125</x:v>
      </x:c>
      <x:c r="G368" s="1" t="s">
        <x:v>114</x:v>
      </x:c>
      <x:c r="H368" s="1" t="s">
        <x:v>113</x:v>
      </x:c>
      <x:c r="I368" s="1" t="s">
        <x:v>112</x:v>
      </x:c>
      <x:c r="J368">
        <x:f t="shared" si="7"/>
        <x:v>0</x:v>
      </x:c>
      <x:c r="K368" t="n">
        <x:f>COUNTIFS(Grunnspill!$A:$A,Annex!B368)</x:f>
        <x:v>0</x:v>
      </x:c>
      <x:c r="L368" t="n">
        <x:f>COUNTIFS(Grunnspill!$A:$A,Annex!C368)</x:f>
        <x:v>0</x:v>
      </x:c>
      <x:c r="M368" t="n">
        <x:f>COUNTIFS(Grunnspill!$A:$A,Annex!D368)</x:f>
        <x:v>0</x:v>
      </x:c>
      <x:c r="N368" t="n">
        <x:f>COUNTIFS(Grunnspill!$A:$A,Annex!E368)</x:f>
        <x:v>0</x:v>
      </x:c>
      <x:c r="O368" t="n">
        <x:f>COUNTIFS(Grunnspill!$A:$A,Annex!F368)</x:f>
        <x:v>0</x:v>
      </x:c>
      <x:c r="P368" t="n">
        <x:f>COUNTIFS(Grunnspill!$A:$A,Annex!G368)</x:f>
        <x:v>0</x:v>
      </x:c>
      <x:c r="Q368" t="n">
        <x:f>COUNTIFS(Grunnspill!$A:$A,Annex!H368)</x:f>
        <x:v>0</x:v>
      </x:c>
      <x:c r="R368" t="n">
        <x:f>COUNTIFS(Grunnspill!$A:$A,Annex!I368)</x:f>
        <x:v>0</x:v>
      </x:c>
    </x:row>
    <x:row r="369">
      <x:c r="A369">
        <x:v>366</x:v>
      </x:c>
      <x:c r="B369" s="1" t="s">
        <x:v>115</x:v>
      </x:c>
      <x:c r="C369" s="1" t="s">
        <x:v>116</x:v>
      </x:c>
      <x:c r="D369" s="1" t="s">
        <x:v>124</x:v>
      </x:c>
      <x:c r="E369" s="1" t="s">
        <x:v>120</x:v>
      </x:c>
      <x:c r="F369" s="1" t="s">
        <x:v>125</x:v>
      </x:c>
      <x:c r="G369" s="1" t="s">
        <x:v>114</x:v>
      </x:c>
      <x:c r="H369" s="1" t="s">
        <x:v>117</x:v>
      </x:c>
      <x:c r="I369" s="1" t="s">
        <x:v>111</x:v>
      </x:c>
      <x:c r="J369">
        <x:f t="shared" si="7"/>
        <x:v>0</x:v>
      </x:c>
      <x:c r="K369" t="n">
        <x:f>COUNTIFS(Grunnspill!$A:$A,Annex!B369)</x:f>
        <x:v>0</x:v>
      </x:c>
      <x:c r="L369" t="n">
        <x:f>COUNTIFS(Grunnspill!$A:$A,Annex!C369)</x:f>
        <x:v>0</x:v>
      </x:c>
      <x:c r="M369" t="n">
        <x:f>COUNTIFS(Grunnspill!$A:$A,Annex!D369)</x:f>
        <x:v>0</x:v>
      </x:c>
      <x:c r="N369" t="n">
        <x:f>COUNTIFS(Grunnspill!$A:$A,Annex!E369)</x:f>
        <x:v>0</x:v>
      </x:c>
      <x:c r="O369" t="n">
        <x:f>COUNTIFS(Grunnspill!$A:$A,Annex!F369)</x:f>
        <x:v>0</x:v>
      </x:c>
      <x:c r="P369" t="n">
        <x:f>COUNTIFS(Grunnspill!$A:$A,Annex!G369)</x:f>
        <x:v>0</x:v>
      </x:c>
      <x:c r="Q369" t="n">
        <x:f>COUNTIFS(Grunnspill!$A:$A,Annex!H369)</x:f>
        <x:v>0</x:v>
      </x:c>
      <x:c r="R369" t="n">
        <x:f>COUNTIFS(Grunnspill!$A:$A,Annex!I369)</x:f>
        <x:v>0</x:v>
      </x:c>
    </x:row>
    <x:row r="370">
      <x:c r="A370">
        <x:v>367</x:v>
      </x:c>
      <x:c r="B370" s="1" t="s">
        <x:v>115</x:v>
      </x:c>
      <x:c r="C370" s="1" t="s">
        <x:v>116</x:v>
      </x:c>
      <x:c r="D370" s="1" t="s">
        <x:v>124</x:v>
      </x:c>
      <x:c r="E370" s="1" t="s">
        <x:v>120</x:v>
      </x:c>
      <x:c r="F370" s="1" t="s">
        <x:v>125</x:v>
      </x:c>
      <x:c r="G370" s="1" t="s">
        <x:v>114</x:v>
      </x:c>
      <x:c r="H370" s="1" t="s">
        <x:v>111</x:v>
      </x:c>
      <x:c r="I370" s="1" t="s">
        <x:v>118</x:v>
      </x:c>
      <x:c r="J370">
        <x:f t="shared" si="7"/>
        <x:v>0</x:v>
      </x:c>
      <x:c r="K370" t="n">
        <x:f>COUNTIFS(Grunnspill!$A:$A,Annex!B370)</x:f>
        <x:v>0</x:v>
      </x:c>
      <x:c r="L370" t="n">
        <x:f>COUNTIFS(Grunnspill!$A:$A,Annex!C370)</x:f>
        <x:v>0</x:v>
      </x:c>
      <x:c r="M370" t="n">
        <x:f>COUNTIFS(Grunnspill!$A:$A,Annex!D370)</x:f>
        <x:v>0</x:v>
      </x:c>
      <x:c r="N370" t="n">
        <x:f>COUNTIFS(Grunnspill!$A:$A,Annex!E370)</x:f>
        <x:v>0</x:v>
      </x:c>
      <x:c r="O370" t="n">
        <x:f>COUNTIFS(Grunnspill!$A:$A,Annex!F370)</x:f>
        <x:v>0</x:v>
      </x:c>
      <x:c r="P370" t="n">
        <x:f>COUNTIFS(Grunnspill!$A:$A,Annex!G370)</x:f>
        <x:v>0</x:v>
      </x:c>
      <x:c r="Q370" t="n">
        <x:f>COUNTIFS(Grunnspill!$A:$A,Annex!H370)</x:f>
        <x:v>0</x:v>
      </x:c>
      <x:c r="R370" t="n">
        <x:f>COUNTIFS(Grunnspill!$A:$A,Annex!I370)</x:f>
        <x:v>0</x:v>
      </x:c>
    </x:row>
    <x:row r="371">
      <x:c r="A371">
        <x:v>368</x:v>
      </x:c>
      <x:c r="B371" s="1" t="s">
        <x:v>115</x:v>
      </x:c>
      <x:c r="C371" s="1" t="s">
        <x:v>116</x:v>
      </x:c>
      <x:c r="D371" s="1" t="s">
        <x:v>124</x:v>
      </x:c>
      <x:c r="E371" s="1" t="s">
        <x:v>120</x:v>
      </x:c>
      <x:c r="F371" s="1" t="s">
        <x:v>125</x:v>
      </x:c>
      <x:c r="G371" s="1" t="s">
        <x:v>114</x:v>
      </x:c>
      <x:c r="H371" s="1" t="s">
        <x:v>111</x:v>
      </x:c>
      <x:c r="I371" s="1" t="s">
        <x:v>112</x:v>
      </x:c>
      <x:c r="J371">
        <x:f t="shared" si="7"/>
        <x:v>0</x:v>
      </x:c>
      <x:c r="K371" t="n">
        <x:f>COUNTIFS(Grunnspill!$A:$A,Annex!B371)</x:f>
        <x:v>0</x:v>
      </x:c>
      <x:c r="L371" t="n">
        <x:f>COUNTIFS(Grunnspill!$A:$A,Annex!C371)</x:f>
        <x:v>0</x:v>
      </x:c>
      <x:c r="M371" t="n">
        <x:f>COUNTIFS(Grunnspill!$A:$A,Annex!D371)</x:f>
        <x:v>0</x:v>
      </x:c>
      <x:c r="N371" t="n">
        <x:f>COUNTIFS(Grunnspill!$A:$A,Annex!E371)</x:f>
        <x:v>0</x:v>
      </x:c>
      <x:c r="O371" t="n">
        <x:f>COUNTIFS(Grunnspill!$A:$A,Annex!F371)</x:f>
        <x:v>0</x:v>
      </x:c>
      <x:c r="P371" t="n">
        <x:f>COUNTIFS(Grunnspill!$A:$A,Annex!G371)</x:f>
        <x:v>0</x:v>
      </x:c>
      <x:c r="Q371" t="n">
        <x:f>COUNTIFS(Grunnspill!$A:$A,Annex!H371)</x:f>
        <x:v>0</x:v>
      </x:c>
      <x:c r="R371" t="n">
        <x:f>COUNTIFS(Grunnspill!$A:$A,Annex!I371)</x:f>
        <x:v>0</x:v>
      </x:c>
    </x:row>
    <x:row r="372">
      <x:c r="A372">
        <x:v>369</x:v>
      </x:c>
      <x:c r="B372" s="1" t="s">
        <x:v>115</x:v>
      </x:c>
      <x:c r="C372" s="1" t="s">
        <x:v>116</x:v>
      </x:c>
      <x:c r="D372" s="1" t="s">
        <x:v>124</x:v>
      </x:c>
      <x:c r="E372" s="1" t="s">
        <x:v>120</x:v>
      </x:c>
      <x:c r="F372" s="1" t="s">
        <x:v>125</x:v>
      </x:c>
      <x:c r="G372" s="1" t="s">
        <x:v>114</x:v>
      </x:c>
      <x:c r="H372" s="1" t="s">
        <x:v>111</x:v>
      </x:c>
      <x:c r="I372" s="1" t="s">
        <x:v>113</x:v>
      </x:c>
      <x:c r="J372">
        <x:f t="shared" si="7"/>
        <x:v>0</x:v>
      </x:c>
      <x:c r="K372" t="n">
        <x:f>COUNTIFS(Grunnspill!$A:$A,Annex!B372)</x:f>
        <x:v>0</x:v>
      </x:c>
      <x:c r="L372" t="n">
        <x:f>COUNTIFS(Grunnspill!$A:$A,Annex!C372)</x:f>
        <x:v>0</x:v>
      </x:c>
      <x:c r="M372" t="n">
        <x:f>COUNTIFS(Grunnspill!$A:$A,Annex!D372)</x:f>
        <x:v>0</x:v>
      </x:c>
      <x:c r="N372" t="n">
        <x:f>COUNTIFS(Grunnspill!$A:$A,Annex!E372)</x:f>
        <x:v>0</x:v>
      </x:c>
      <x:c r="O372" t="n">
        <x:f>COUNTIFS(Grunnspill!$A:$A,Annex!F372)</x:f>
        <x:v>0</x:v>
      </x:c>
      <x:c r="P372" t="n">
        <x:f>COUNTIFS(Grunnspill!$A:$A,Annex!G372)</x:f>
        <x:v>0</x:v>
      </x:c>
      <x:c r="Q372" t="n">
        <x:f>COUNTIFS(Grunnspill!$A:$A,Annex!H372)</x:f>
        <x:v>0</x:v>
      </x:c>
      <x:c r="R372" t="n">
        <x:f>COUNTIFS(Grunnspill!$A:$A,Annex!I372)</x:f>
        <x:v>0</x:v>
      </x:c>
    </x:row>
    <x:row r="373">
      <x:c r="A373">
        <x:v>370</x:v>
      </x:c>
      <x:c r="B373" s="1" t="s">
        <x:v>113</x:v>
      </x:c>
      <x:c r="C373" s="1" t="s">
        <x:v>112</x:v>
      </x:c>
      <x:c r="D373" s="1" t="s">
        <x:v>124</x:v>
      </x:c>
      <x:c r="E373" s="1" t="s">
        <x:v>121</x:v>
      </x:c>
      <x:c r="F373" s="1" t="s">
        <x:v>125</x:v>
      </x:c>
      <x:c r="G373" s="1" t="s">
        <x:v>115</x:v>
      </x:c>
      <x:c r="H373" s="1" t="s">
        <x:v>117</x:v>
      </x:c>
      <x:c r="I373" s="1" t="s">
        <x:v>118</x:v>
      </x:c>
      <x:c r="J373">
        <x:f t="shared" si="7"/>
        <x:v>0</x:v>
      </x:c>
      <x:c r="K373" t="n">
        <x:f>COUNTIFS(Grunnspill!$A:$A,Annex!B373)</x:f>
        <x:v>0</x:v>
      </x:c>
      <x:c r="L373" t="n">
        <x:f>COUNTIFS(Grunnspill!$A:$A,Annex!C373)</x:f>
        <x:v>0</x:v>
      </x:c>
      <x:c r="M373" t="n">
        <x:f>COUNTIFS(Grunnspill!$A:$A,Annex!D373)</x:f>
        <x:v>0</x:v>
      </x:c>
      <x:c r="N373" t="n">
        <x:f>COUNTIFS(Grunnspill!$A:$A,Annex!E373)</x:f>
        <x:v>0</x:v>
      </x:c>
      <x:c r="O373" t="n">
        <x:f>COUNTIFS(Grunnspill!$A:$A,Annex!F373)</x:f>
        <x:v>0</x:v>
      </x:c>
      <x:c r="P373" t="n">
        <x:f>COUNTIFS(Grunnspill!$A:$A,Annex!G373)</x:f>
        <x:v>0</x:v>
      </x:c>
      <x:c r="Q373" t="n">
        <x:f>COUNTIFS(Grunnspill!$A:$A,Annex!H373)</x:f>
        <x:v>0</x:v>
      </x:c>
      <x:c r="R373" t="n">
        <x:f>COUNTIFS(Grunnspill!$A:$A,Annex!I373)</x:f>
        <x:v>0</x:v>
      </x:c>
    </x:row>
    <x:row r="374">
      <x:c r="A374">
        <x:v>371</x:v>
      </x:c>
      <x:c r="B374" s="1" t="s">
        <x:v>113</x:v>
      </x:c>
      <x:c r="C374" s="1" t="s">
        <x:v>112</x:v>
      </x:c>
      <x:c r="D374" s="1" t="s">
        <x:v>124</x:v>
      </x:c>
      <x:c r="E374" s="1" t="s">
        <x:v>121</x:v>
      </x:c>
      <x:c r="F374" s="1" t="s">
        <x:v>125</x:v>
      </x:c>
      <x:c r="G374" s="1" t="s">
        <x:v>116</x:v>
      </x:c>
      <x:c r="H374" s="1" t="s">
        <x:v>117</x:v>
      </x:c>
      <x:c r="I374" s="1" t="s">
        <x:v>118</x:v>
      </x:c>
      <x:c r="J374">
        <x:f t="shared" si="7"/>
        <x:v>0</x:v>
      </x:c>
      <x:c r="K374" t="n">
        <x:f>COUNTIFS(Grunnspill!$A:$A,Annex!B374)</x:f>
        <x:v>0</x:v>
      </x:c>
      <x:c r="L374" t="n">
        <x:f>COUNTIFS(Grunnspill!$A:$A,Annex!C374)</x:f>
        <x:v>0</x:v>
      </x:c>
      <x:c r="M374" t="n">
        <x:f>COUNTIFS(Grunnspill!$A:$A,Annex!D374)</x:f>
        <x:v>0</x:v>
      </x:c>
      <x:c r="N374" t="n">
        <x:f>COUNTIFS(Grunnspill!$A:$A,Annex!E374)</x:f>
        <x:v>0</x:v>
      </x:c>
      <x:c r="O374" t="n">
        <x:f>COUNTIFS(Grunnspill!$A:$A,Annex!F374)</x:f>
        <x:v>0</x:v>
      </x:c>
      <x:c r="P374" t="n">
        <x:f>COUNTIFS(Grunnspill!$A:$A,Annex!G374)</x:f>
        <x:v>0</x:v>
      </x:c>
      <x:c r="Q374" t="n">
        <x:f>COUNTIFS(Grunnspill!$A:$A,Annex!H374)</x:f>
        <x:v>0</x:v>
      </x:c>
      <x:c r="R374" t="n">
        <x:f>COUNTIFS(Grunnspill!$A:$A,Annex!I374)</x:f>
        <x:v>0</x:v>
      </x:c>
    </x:row>
    <x:row r="375">
      <x:c r="A375">
        <x:v>372</x:v>
      </x:c>
      <x:c r="B375" s="1" t="s">
        <x:v>115</x:v>
      </x:c>
      <x:c r="C375" s="1" t="s">
        <x:v>112</x:v>
      </x:c>
      <x:c r="D375" s="1" t="s">
        <x:v>124</x:v>
      </x:c>
      <x:c r="E375" s="1" t="s">
        <x:v>121</x:v>
      </x:c>
      <x:c r="F375" s="1" t="s">
        <x:v>125</x:v>
      </x:c>
      <x:c r="G375" s="1" t="s">
        <x:v>116</x:v>
      </x:c>
      <x:c r="H375" s="1" t="s">
        <x:v>117</x:v>
      </x:c>
      <x:c r="I375" s="1" t="s">
        <x:v>118</x:v>
      </x:c>
      <x:c r="J375">
        <x:f t="shared" si="7"/>
        <x:v>0</x:v>
      </x:c>
      <x:c r="K375" t="n">
        <x:f>COUNTIFS(Grunnspill!$A:$A,Annex!B375)</x:f>
        <x:v>0</x:v>
      </x:c>
      <x:c r="L375" t="n">
        <x:f>COUNTIFS(Grunnspill!$A:$A,Annex!C375)</x:f>
        <x:v>0</x:v>
      </x:c>
      <x:c r="M375" t="n">
        <x:f>COUNTIFS(Grunnspill!$A:$A,Annex!D375)</x:f>
        <x:v>0</x:v>
      </x:c>
      <x:c r="N375" t="n">
        <x:f>COUNTIFS(Grunnspill!$A:$A,Annex!E375)</x:f>
        <x:v>0</x:v>
      </x:c>
      <x:c r="O375" t="n">
        <x:f>COUNTIFS(Grunnspill!$A:$A,Annex!F375)</x:f>
        <x:v>0</x:v>
      </x:c>
      <x:c r="P375" t="n">
        <x:f>COUNTIFS(Grunnspill!$A:$A,Annex!G375)</x:f>
        <x:v>0</x:v>
      </x:c>
      <x:c r="Q375" t="n">
        <x:f>COUNTIFS(Grunnspill!$A:$A,Annex!H375)</x:f>
        <x:v>0</x:v>
      </x:c>
      <x:c r="R375" t="n">
        <x:f>COUNTIFS(Grunnspill!$A:$A,Annex!I375)</x:f>
        <x:v>0</x:v>
      </x:c>
    </x:row>
    <x:row r="376">
      <x:c r="A376">
        <x:v>373</x:v>
      </x:c>
      <x:c r="B376" s="1" t="s">
        <x:v>113</x:v>
      </x:c>
      <x:c r="C376" s="1" t="s">
        <x:v>116</x:v>
      </x:c>
      <x:c r="D376" s="1" t="s">
        <x:v>124</x:v>
      </x:c>
      <x:c r="E376" s="1" t="s">
        <x:v>121</x:v>
      </x:c>
      <x:c r="F376" s="1" t="s">
        <x:v>125</x:v>
      </x:c>
      <x:c r="G376" s="1" t="s">
        <x:v>115</x:v>
      </x:c>
      <x:c r="H376" s="1" t="s">
        <x:v>117</x:v>
      </x:c>
      <x:c r="I376" s="1" t="s">
        <x:v>118</x:v>
      </x:c>
      <x:c r="J376">
        <x:f t="shared" si="7"/>
        <x:v>0</x:v>
      </x:c>
      <x:c r="K376" t="n">
        <x:f>COUNTIFS(Grunnspill!$A:$A,Annex!B376)</x:f>
        <x:v>0</x:v>
      </x:c>
      <x:c r="L376" t="n">
        <x:f>COUNTIFS(Grunnspill!$A:$A,Annex!C376)</x:f>
        <x:v>0</x:v>
      </x:c>
      <x:c r="M376" t="n">
        <x:f>COUNTIFS(Grunnspill!$A:$A,Annex!D376)</x:f>
        <x:v>0</x:v>
      </x:c>
      <x:c r="N376" t="n">
        <x:f>COUNTIFS(Grunnspill!$A:$A,Annex!E376)</x:f>
        <x:v>0</x:v>
      </x:c>
      <x:c r="O376" t="n">
        <x:f>COUNTIFS(Grunnspill!$A:$A,Annex!F376)</x:f>
        <x:v>0</x:v>
      </x:c>
      <x:c r="P376" t="n">
        <x:f>COUNTIFS(Grunnspill!$A:$A,Annex!G376)</x:f>
        <x:v>0</x:v>
      </x:c>
      <x:c r="Q376" t="n">
        <x:f>COUNTIFS(Grunnspill!$A:$A,Annex!H376)</x:f>
        <x:v>0</x:v>
      </x:c>
      <x:c r="R376" t="n">
        <x:f>COUNTIFS(Grunnspill!$A:$A,Annex!I376)</x:f>
        <x:v>0</x:v>
      </x:c>
    </x:row>
    <x:row r="377">
      <x:c r="A377">
        <x:v>374</x:v>
      </x:c>
      <x:c r="B377" s="1" t="s">
        <x:v>115</x:v>
      </x:c>
      <x:c r="C377" s="1" t="s">
        <x:v>112</x:v>
      </x:c>
      <x:c r="D377" s="1" t="s">
        <x:v>124</x:v>
      </x:c>
      <x:c r="E377" s="1" t="s">
        <x:v>121</x:v>
      </x:c>
      <x:c r="F377" s="1" t="s">
        <x:v>125</x:v>
      </x:c>
      <x:c r="G377" s="1" t="s">
        <x:v>116</x:v>
      </x:c>
      <x:c r="H377" s="1" t="s">
        <x:v>117</x:v>
      </x:c>
      <x:c r="I377" s="1" t="s">
        <x:v>113</x:v>
      </x:c>
      <x:c r="J377">
        <x:f t="shared" si="7"/>
        <x:v>0</x:v>
      </x:c>
      <x:c r="K377" t="n">
        <x:f>COUNTIFS(Grunnspill!$A:$A,Annex!B377)</x:f>
        <x:v>0</x:v>
      </x:c>
      <x:c r="L377" t="n">
        <x:f>COUNTIFS(Grunnspill!$A:$A,Annex!C377)</x:f>
        <x:v>0</x:v>
      </x:c>
      <x:c r="M377" t="n">
        <x:f>COUNTIFS(Grunnspill!$A:$A,Annex!D377)</x:f>
        <x:v>0</x:v>
      </x:c>
      <x:c r="N377" t="n">
        <x:f>COUNTIFS(Grunnspill!$A:$A,Annex!E377)</x:f>
        <x:v>0</x:v>
      </x:c>
      <x:c r="O377" t="n">
        <x:f>COUNTIFS(Grunnspill!$A:$A,Annex!F377)</x:f>
        <x:v>0</x:v>
      </x:c>
      <x:c r="P377" t="n">
        <x:f>COUNTIFS(Grunnspill!$A:$A,Annex!G377)</x:f>
        <x:v>0</x:v>
      </x:c>
      <x:c r="Q377" t="n">
        <x:f>COUNTIFS(Grunnspill!$A:$A,Annex!H377)</x:f>
        <x:v>0</x:v>
      </x:c>
      <x:c r="R377" t="n">
        <x:f>COUNTIFS(Grunnspill!$A:$A,Annex!I377)</x:f>
        <x:v>0</x:v>
      </x:c>
    </x:row>
    <x:row r="378">
      <x:c r="A378">
        <x:v>375</x:v>
      </x:c>
      <x:c r="B378" s="1" t="s">
        <x:v>115</x:v>
      </x:c>
      <x:c r="C378" s="1" t="s">
        <x:v>112</x:v>
      </x:c>
      <x:c r="D378" s="1" t="s">
        <x:v>124</x:v>
      </x:c>
      <x:c r="E378" s="1" t="s">
        <x:v>121</x:v>
      </x:c>
      <x:c r="F378" s="1" t="s">
        <x:v>125</x:v>
      </x:c>
      <x:c r="G378" s="1" t="s">
        <x:v>116</x:v>
      </x:c>
      <x:c r="H378" s="1" t="s">
        <x:v>113</x:v>
      </x:c>
      <x:c r="I378" s="1" t="s">
        <x:v>118</x:v>
      </x:c>
      <x:c r="J378">
        <x:f t="shared" si="7"/>
        <x:v>0</x:v>
      </x:c>
      <x:c r="K378" t="n">
        <x:f>COUNTIFS(Grunnspill!$A:$A,Annex!B378)</x:f>
        <x:v>0</x:v>
      </x:c>
      <x:c r="L378" t="n">
        <x:f>COUNTIFS(Grunnspill!$A:$A,Annex!C378)</x:f>
        <x:v>0</x:v>
      </x:c>
      <x:c r="M378" t="n">
        <x:f>COUNTIFS(Grunnspill!$A:$A,Annex!D378)</x:f>
        <x:v>0</x:v>
      </x:c>
      <x:c r="N378" t="n">
        <x:f>COUNTIFS(Grunnspill!$A:$A,Annex!E378)</x:f>
        <x:v>0</x:v>
      </x:c>
      <x:c r="O378" t="n">
        <x:f>COUNTIFS(Grunnspill!$A:$A,Annex!F378)</x:f>
        <x:v>0</x:v>
      </x:c>
      <x:c r="P378" t="n">
        <x:f>COUNTIFS(Grunnspill!$A:$A,Annex!G378)</x:f>
        <x:v>0</x:v>
      </x:c>
      <x:c r="Q378" t="n">
        <x:f>COUNTIFS(Grunnspill!$A:$A,Annex!H378)</x:f>
        <x:v>0</x:v>
      </x:c>
      <x:c r="R378" t="n">
        <x:f>COUNTIFS(Grunnspill!$A:$A,Annex!I378)</x:f>
        <x:v>0</x:v>
      </x:c>
    </x:row>
    <x:row r="379">
      <x:c r="A379">
        <x:v>376</x:v>
      </x:c>
      <x:c r="B379" s="1" t="s">
        <x:v>113</x:v>
      </x:c>
      <x:c r="C379" s="1" t="s">
        <x:v>112</x:v>
      </x:c>
      <x:c r="D379" s="1" t="s">
        <x:v>124</x:v>
      </x:c>
      <x:c r="E379" s="1" t="s">
        <x:v>121</x:v>
      </x:c>
      <x:c r="F379" s="1" t="s">
        <x:v>125</x:v>
      </x:c>
      <x:c r="G379" s="1" t="s">
        <x:v>114</x:v>
      </x:c>
      <x:c r="H379" s="1" t="s">
        <x:v>117</x:v>
      </x:c>
      <x:c r="I379" s="1" t="s">
        <x:v>118</x:v>
      </x:c>
      <x:c r="J379">
        <x:f t="shared" si="7"/>
        <x:v>0</x:v>
      </x:c>
      <x:c r="K379" t="n">
        <x:f>COUNTIFS(Grunnspill!$A:$A,Annex!B379)</x:f>
        <x:v>0</x:v>
      </x:c>
      <x:c r="L379" t="n">
        <x:f>COUNTIFS(Grunnspill!$A:$A,Annex!C379)</x:f>
        <x:v>0</x:v>
      </x:c>
      <x:c r="M379" t="n">
        <x:f>COUNTIFS(Grunnspill!$A:$A,Annex!D379)</x:f>
        <x:v>0</x:v>
      </x:c>
      <x:c r="N379" t="n">
        <x:f>COUNTIFS(Grunnspill!$A:$A,Annex!E379)</x:f>
        <x:v>0</x:v>
      </x:c>
      <x:c r="O379" t="n">
        <x:f>COUNTIFS(Grunnspill!$A:$A,Annex!F379)</x:f>
        <x:v>0</x:v>
      </x:c>
      <x:c r="P379" t="n">
        <x:f>COUNTIFS(Grunnspill!$A:$A,Annex!G379)</x:f>
        <x:v>0</x:v>
      </x:c>
      <x:c r="Q379" t="n">
        <x:f>COUNTIFS(Grunnspill!$A:$A,Annex!H379)</x:f>
        <x:v>0</x:v>
      </x:c>
      <x:c r="R379" t="n">
        <x:f>COUNTIFS(Grunnspill!$A:$A,Annex!I379)</x:f>
        <x:v>0</x:v>
      </x:c>
    </x:row>
    <x:row r="380">
      <x:c r="A380">
        <x:v>377</x:v>
      </x:c>
      <x:c r="B380" s="1" t="s">
        <x:v>115</x:v>
      </x:c>
      <x:c r="C380" s="1" t="s">
        <x:v>112</x:v>
      </x:c>
      <x:c r="D380" s="1" t="s">
        <x:v>124</x:v>
      </x:c>
      <x:c r="E380" s="1" t="s">
        <x:v>121</x:v>
      </x:c>
      <x:c r="F380" s="1" t="s">
        <x:v>125</x:v>
      </x:c>
      <x:c r="G380" s="1" t="s">
        <x:v>114</x:v>
      </x:c>
      <x:c r="H380" s="1" t="s">
        <x:v>117</x:v>
      </x:c>
      <x:c r="I380" s="1" t="s">
        <x:v>118</x:v>
      </x:c>
      <x:c r="J380">
        <x:f t="shared" si="7"/>
        <x:v>0</x:v>
      </x:c>
      <x:c r="K380" t="n">
        <x:f>COUNTIFS(Grunnspill!$A:$A,Annex!B380)</x:f>
        <x:v>0</x:v>
      </x:c>
      <x:c r="L380" t="n">
        <x:f>COUNTIFS(Grunnspill!$A:$A,Annex!C380)</x:f>
        <x:v>0</x:v>
      </x:c>
      <x:c r="M380" t="n">
        <x:f>COUNTIFS(Grunnspill!$A:$A,Annex!D380)</x:f>
        <x:v>0</x:v>
      </x:c>
      <x:c r="N380" t="n">
        <x:f>COUNTIFS(Grunnspill!$A:$A,Annex!E380)</x:f>
        <x:v>0</x:v>
      </x:c>
      <x:c r="O380" t="n">
        <x:f>COUNTIFS(Grunnspill!$A:$A,Annex!F380)</x:f>
        <x:v>0</x:v>
      </x:c>
      <x:c r="P380" t="n">
        <x:f>COUNTIFS(Grunnspill!$A:$A,Annex!G380)</x:f>
        <x:v>0</x:v>
      </x:c>
      <x:c r="Q380" t="n">
        <x:f>COUNTIFS(Grunnspill!$A:$A,Annex!H380)</x:f>
        <x:v>0</x:v>
      </x:c>
      <x:c r="R380" t="n">
        <x:f>COUNTIFS(Grunnspill!$A:$A,Annex!I380)</x:f>
        <x:v>0</x:v>
      </x:c>
    </x:row>
    <x:row r="381">
      <x:c r="A381">
        <x:v>378</x:v>
      </x:c>
      <x:c r="B381" s="1" t="s">
        <x:v>115</x:v>
      </x:c>
      <x:c r="C381" s="1" t="s">
        <x:v>113</x:v>
      </x:c>
      <x:c r="D381" s="1" t="s">
        <x:v>124</x:v>
      </x:c>
      <x:c r="E381" s="1" t="s">
        <x:v>121</x:v>
      </x:c>
      <x:c r="F381" s="1" t="s">
        <x:v>125</x:v>
      </x:c>
      <x:c r="G381" s="1" t="s">
        <x:v>114</x:v>
      </x:c>
      <x:c r="H381" s="1" t="s">
        <x:v>117</x:v>
      </x:c>
      <x:c r="I381" s="1" t="s">
        <x:v>118</x:v>
      </x:c>
      <x:c r="J381">
        <x:f t="shared" si="7"/>
        <x:v>0</x:v>
      </x:c>
      <x:c r="K381" t="n">
        <x:f>COUNTIFS(Grunnspill!$A:$A,Annex!B381)</x:f>
        <x:v>0</x:v>
      </x:c>
      <x:c r="L381" t="n">
        <x:f>COUNTIFS(Grunnspill!$A:$A,Annex!C381)</x:f>
        <x:v>0</x:v>
      </x:c>
      <x:c r="M381" t="n">
        <x:f>COUNTIFS(Grunnspill!$A:$A,Annex!D381)</x:f>
        <x:v>0</x:v>
      </x:c>
      <x:c r="N381" t="n">
        <x:f>COUNTIFS(Grunnspill!$A:$A,Annex!E381)</x:f>
        <x:v>0</x:v>
      </x:c>
      <x:c r="O381" t="n">
        <x:f>COUNTIFS(Grunnspill!$A:$A,Annex!F381)</x:f>
        <x:v>0</x:v>
      </x:c>
      <x:c r="P381" t="n">
        <x:f>COUNTIFS(Grunnspill!$A:$A,Annex!G381)</x:f>
        <x:v>0</x:v>
      </x:c>
      <x:c r="Q381" t="n">
        <x:f>COUNTIFS(Grunnspill!$A:$A,Annex!H381)</x:f>
        <x:v>0</x:v>
      </x:c>
      <x:c r="R381" t="n">
        <x:f>COUNTIFS(Grunnspill!$A:$A,Annex!I381)</x:f>
        <x:v>0</x:v>
      </x:c>
    </x:row>
    <x:row r="382">
      <x:c r="A382">
        <x:v>379</x:v>
      </x:c>
      <x:c r="B382" s="1" t="s">
        <x:v>115</x:v>
      </x:c>
      <x:c r="C382" s="1" t="s">
        <x:v>112</x:v>
      </x:c>
      <x:c r="D382" s="1" t="s">
        <x:v>124</x:v>
      </x:c>
      <x:c r="E382" s="1" t="s">
        <x:v>121</x:v>
      </x:c>
      <x:c r="F382" s="1" t="s">
        <x:v>125</x:v>
      </x:c>
      <x:c r="G382" s="1" t="s">
        <x:v>114</x:v>
      </x:c>
      <x:c r="H382" s="1" t="s">
        <x:v>117</x:v>
      </x:c>
      <x:c r="I382" s="1" t="s">
        <x:v>113</x:v>
      </x:c>
      <x:c r="J382">
        <x:f t="shared" si="7"/>
        <x:v>0</x:v>
      </x:c>
      <x:c r="K382" t="n">
        <x:f>COUNTIFS(Grunnspill!$A:$A,Annex!B382)</x:f>
        <x:v>0</x:v>
      </x:c>
      <x:c r="L382" t="n">
        <x:f>COUNTIFS(Grunnspill!$A:$A,Annex!C382)</x:f>
        <x:v>0</x:v>
      </x:c>
      <x:c r="M382" t="n">
        <x:f>COUNTIFS(Grunnspill!$A:$A,Annex!D382)</x:f>
        <x:v>0</x:v>
      </x:c>
      <x:c r="N382" t="n">
        <x:f>COUNTIFS(Grunnspill!$A:$A,Annex!E382)</x:f>
        <x:v>0</x:v>
      </x:c>
      <x:c r="O382" t="n">
        <x:f>COUNTIFS(Grunnspill!$A:$A,Annex!F382)</x:f>
        <x:v>0</x:v>
      </x:c>
      <x:c r="P382" t="n">
        <x:f>COUNTIFS(Grunnspill!$A:$A,Annex!G382)</x:f>
        <x:v>0</x:v>
      </x:c>
      <x:c r="Q382" t="n">
        <x:f>COUNTIFS(Grunnspill!$A:$A,Annex!H382)</x:f>
        <x:v>0</x:v>
      </x:c>
      <x:c r="R382" t="n">
        <x:f>COUNTIFS(Grunnspill!$A:$A,Annex!I382)</x:f>
        <x:v>0</x:v>
      </x:c>
    </x:row>
    <x:row r="383">
      <x:c r="A383">
        <x:v>380</x:v>
      </x:c>
      <x:c r="B383" s="1" t="s">
        <x:v>115</x:v>
      </x:c>
      <x:c r="C383" s="1" t="s">
        <x:v>112</x:v>
      </x:c>
      <x:c r="D383" s="1" t="s">
        <x:v>124</x:v>
      </x:c>
      <x:c r="E383" s="1" t="s">
        <x:v>121</x:v>
      </x:c>
      <x:c r="F383" s="1" t="s">
        <x:v>125</x:v>
      </x:c>
      <x:c r="G383" s="1" t="s">
        <x:v>114</x:v>
      </x:c>
      <x:c r="H383" s="1" t="s">
        <x:v>113</x:v>
      </x:c>
      <x:c r="I383" s="1" t="s">
        <x:v>118</x:v>
      </x:c>
      <x:c r="J383">
        <x:f t="shared" si="7"/>
        <x:v>0</x:v>
      </x:c>
      <x:c r="K383" t="n">
        <x:f>COUNTIFS(Grunnspill!$A:$A,Annex!B383)</x:f>
        <x:v>0</x:v>
      </x:c>
      <x:c r="L383" t="n">
        <x:f>COUNTIFS(Grunnspill!$A:$A,Annex!C383)</x:f>
        <x:v>0</x:v>
      </x:c>
      <x:c r="M383" t="n">
        <x:f>COUNTIFS(Grunnspill!$A:$A,Annex!D383)</x:f>
        <x:v>0</x:v>
      </x:c>
      <x:c r="N383" t="n">
        <x:f>COUNTIFS(Grunnspill!$A:$A,Annex!E383)</x:f>
        <x:v>0</x:v>
      </x:c>
      <x:c r="O383" t="n">
        <x:f>COUNTIFS(Grunnspill!$A:$A,Annex!F383)</x:f>
        <x:v>0</x:v>
      </x:c>
      <x:c r="P383" t="n">
        <x:f>COUNTIFS(Grunnspill!$A:$A,Annex!G383)</x:f>
        <x:v>0</x:v>
      </x:c>
      <x:c r="Q383" t="n">
        <x:f>COUNTIFS(Grunnspill!$A:$A,Annex!H383)</x:f>
        <x:v>0</x:v>
      </x:c>
      <x:c r="R383" t="n">
        <x:f>COUNTIFS(Grunnspill!$A:$A,Annex!I383)</x:f>
        <x:v>0</x:v>
      </x:c>
    </x:row>
    <x:row r="384">
      <x:c r="A384">
        <x:v>381</x:v>
      </x:c>
      <x:c r="B384" s="1" t="s">
        <x:v>121</x:v>
      </x:c>
      <x:c r="C384" s="1" t="s">
        <x:v>112</x:v>
      </x:c>
      <x:c r="D384" s="1" t="s">
        <x:v>124</x:v>
      </x:c>
      <x:c r="E384" s="1" t="s">
        <x:v>114</x:v>
      </x:c>
      <x:c r="F384" s="1" t="s">
        <x:v>125</x:v>
      </x:c>
      <x:c r="G384" s="1" t="s">
        <x:v>116</x:v>
      </x:c>
      <x:c r="H384" s="1" t="s">
        <x:v>117</x:v>
      </x:c>
      <x:c r="I384" s="1" t="s">
        <x:v>118</x:v>
      </x:c>
      <x:c r="J384">
        <x:f t="shared" si="7"/>
        <x:v>0</x:v>
      </x:c>
      <x:c r="K384" t="n">
        <x:f>COUNTIFS(Grunnspill!$A:$A,Annex!B384)</x:f>
        <x:v>0</x:v>
      </x:c>
      <x:c r="L384" t="n">
        <x:f>COUNTIFS(Grunnspill!$A:$A,Annex!C384)</x:f>
        <x:v>0</x:v>
      </x:c>
      <x:c r="M384" t="n">
        <x:f>COUNTIFS(Grunnspill!$A:$A,Annex!D384)</x:f>
        <x:v>0</x:v>
      </x:c>
      <x:c r="N384" t="n">
        <x:f>COUNTIFS(Grunnspill!$A:$A,Annex!E384)</x:f>
        <x:v>0</x:v>
      </x:c>
      <x:c r="O384" t="n">
        <x:f>COUNTIFS(Grunnspill!$A:$A,Annex!F384)</x:f>
        <x:v>0</x:v>
      </x:c>
      <x:c r="P384" t="n">
        <x:f>COUNTIFS(Grunnspill!$A:$A,Annex!G384)</x:f>
        <x:v>0</x:v>
      </x:c>
      <x:c r="Q384" t="n">
        <x:f>COUNTIFS(Grunnspill!$A:$A,Annex!H384)</x:f>
        <x:v>0</x:v>
      </x:c>
      <x:c r="R384" t="n">
        <x:f>COUNTIFS(Grunnspill!$A:$A,Annex!I384)</x:f>
        <x:v>0</x:v>
      </x:c>
    </x:row>
    <x:row r="385">
      <x:c r="A385">
        <x:v>382</x:v>
      </x:c>
      <x:c r="B385" s="1" t="s">
        <x:v>113</x:v>
      </x:c>
      <x:c r="C385" s="1" t="s">
        <x:v>116</x:v>
      </x:c>
      <x:c r="D385" s="1" t="s">
        <x:v>124</x:v>
      </x:c>
      <x:c r="E385" s="1" t="s">
        <x:v>121</x:v>
      </x:c>
      <x:c r="F385" s="1" t="s">
        <x:v>125</x:v>
      </x:c>
      <x:c r="G385" s="1" t="s">
        <x:v>114</x:v>
      </x:c>
      <x:c r="H385" s="1" t="s">
        <x:v>117</x:v>
      </x:c>
      <x:c r="I385" s="1" t="s">
        <x:v>118</x:v>
      </x:c>
      <x:c r="J385">
        <x:f t="shared" si="7"/>
        <x:v>0</x:v>
      </x:c>
      <x:c r="K385" t="n">
        <x:f>COUNTIFS(Grunnspill!$A:$A,Annex!B385)</x:f>
        <x:v>0</x:v>
      </x:c>
      <x:c r="L385" t="n">
        <x:f>COUNTIFS(Grunnspill!$A:$A,Annex!C385)</x:f>
        <x:v>0</x:v>
      </x:c>
      <x:c r="M385" t="n">
        <x:f>COUNTIFS(Grunnspill!$A:$A,Annex!D385)</x:f>
        <x:v>0</x:v>
      </x:c>
      <x:c r="N385" t="n">
        <x:f>COUNTIFS(Grunnspill!$A:$A,Annex!E385)</x:f>
        <x:v>0</x:v>
      </x:c>
      <x:c r="O385" t="n">
        <x:f>COUNTIFS(Grunnspill!$A:$A,Annex!F385)</x:f>
        <x:v>0</x:v>
      </x:c>
      <x:c r="P385" t="n">
        <x:f>COUNTIFS(Grunnspill!$A:$A,Annex!G385)</x:f>
        <x:v>0</x:v>
      </x:c>
      <x:c r="Q385" t="n">
        <x:f>COUNTIFS(Grunnspill!$A:$A,Annex!H385)</x:f>
        <x:v>0</x:v>
      </x:c>
      <x:c r="R385" t="n">
        <x:f>COUNTIFS(Grunnspill!$A:$A,Annex!I385)</x:f>
        <x:v>0</x:v>
      </x:c>
    </x:row>
    <x:row r="386">
      <x:c r="A386">
        <x:v>383</x:v>
      </x:c>
      <x:c r="B386" s="1" t="s">
        <x:v>121</x:v>
      </x:c>
      <x:c r="C386" s="1" t="s">
        <x:v>112</x:v>
      </x:c>
      <x:c r="D386" s="1" t="s">
        <x:v>124</x:v>
      </x:c>
      <x:c r="E386" s="1" t="s">
        <x:v>114</x:v>
      </x:c>
      <x:c r="F386" s="1" t="s">
        <x:v>125</x:v>
      </x:c>
      <x:c r="G386" s="1" t="s">
        <x:v>116</x:v>
      </x:c>
      <x:c r="H386" s="1" t="s">
        <x:v>117</x:v>
      </x:c>
      <x:c r="I386" s="1" t="s">
        <x:v>113</x:v>
      </x:c>
      <x:c r="J386">
        <x:f t="shared" si="7"/>
        <x:v>0</x:v>
      </x:c>
      <x:c r="K386" t="n">
        <x:f>COUNTIFS(Grunnspill!$A:$A,Annex!B386)</x:f>
        <x:v>0</x:v>
      </x:c>
      <x:c r="L386" t="n">
        <x:f>COUNTIFS(Grunnspill!$A:$A,Annex!C386)</x:f>
        <x:v>0</x:v>
      </x:c>
      <x:c r="M386" t="n">
        <x:f>COUNTIFS(Grunnspill!$A:$A,Annex!D386)</x:f>
        <x:v>0</x:v>
      </x:c>
      <x:c r="N386" t="n">
        <x:f>COUNTIFS(Grunnspill!$A:$A,Annex!E386)</x:f>
        <x:v>0</x:v>
      </x:c>
      <x:c r="O386" t="n">
        <x:f>COUNTIFS(Grunnspill!$A:$A,Annex!F386)</x:f>
        <x:v>0</x:v>
      </x:c>
      <x:c r="P386" t="n">
        <x:f>COUNTIFS(Grunnspill!$A:$A,Annex!G386)</x:f>
        <x:v>0</x:v>
      </x:c>
      <x:c r="Q386" t="n">
        <x:f>COUNTIFS(Grunnspill!$A:$A,Annex!H386)</x:f>
        <x:v>0</x:v>
      </x:c>
      <x:c r="R386" t="n">
        <x:f>COUNTIFS(Grunnspill!$A:$A,Annex!I386)</x:f>
        <x:v>0</x:v>
      </x:c>
    </x:row>
    <x:row r="387">
      <x:c r="A387">
        <x:v>384</x:v>
      </x:c>
      <x:c r="B387" s="1" t="s">
        <x:v>121</x:v>
      </x:c>
      <x:c r="C387" s="1" t="s">
        <x:v>112</x:v>
      </x:c>
      <x:c r="D387" s="1" t="s">
        <x:v>124</x:v>
      </x:c>
      <x:c r="E387" s="1" t="s">
        <x:v>114</x:v>
      </x:c>
      <x:c r="F387" s="1" t="s">
        <x:v>125</x:v>
      </x:c>
      <x:c r="G387" s="1" t="s">
        <x:v>116</x:v>
      </x:c>
      <x:c r="H387" s="1" t="s">
        <x:v>113</x:v>
      </x:c>
      <x:c r="I387" s="1" t="s">
        <x:v>118</x:v>
      </x:c>
      <x:c r="J387">
        <x:f t="shared" si="7"/>
        <x:v>0</x:v>
      </x:c>
      <x:c r="K387" t="n">
        <x:f>COUNTIFS(Grunnspill!$A:$A,Annex!B387)</x:f>
        <x:v>0</x:v>
      </x:c>
      <x:c r="L387" t="n">
        <x:f>COUNTIFS(Grunnspill!$A:$A,Annex!C387)</x:f>
        <x:v>0</x:v>
      </x:c>
      <x:c r="M387" t="n">
        <x:f>COUNTIFS(Grunnspill!$A:$A,Annex!D387)</x:f>
        <x:v>0</x:v>
      </x:c>
      <x:c r="N387" t="n">
        <x:f>COUNTIFS(Grunnspill!$A:$A,Annex!E387)</x:f>
        <x:v>0</x:v>
      </x:c>
      <x:c r="O387" t="n">
        <x:f>COUNTIFS(Grunnspill!$A:$A,Annex!F387)</x:f>
        <x:v>0</x:v>
      </x:c>
      <x:c r="P387" t="n">
        <x:f>COUNTIFS(Grunnspill!$A:$A,Annex!G387)</x:f>
        <x:v>0</x:v>
      </x:c>
      <x:c r="Q387" t="n">
        <x:f>COUNTIFS(Grunnspill!$A:$A,Annex!H387)</x:f>
        <x:v>0</x:v>
      </x:c>
      <x:c r="R387" t="n">
        <x:f>COUNTIFS(Grunnspill!$A:$A,Annex!I387)</x:f>
        <x:v>0</x:v>
      </x:c>
    </x:row>
    <x:row r="388">
      <x:c r="A388">
        <x:v>385</x:v>
      </x:c>
      <x:c r="B388" s="1" t="s">
        <x:v>115</x:v>
      </x:c>
      <x:c r="C388" s="1" t="s">
        <x:v>116</x:v>
      </x:c>
      <x:c r="D388" s="1" t="s">
        <x:v>124</x:v>
      </x:c>
      <x:c r="E388" s="1" t="s">
        <x:v>121</x:v>
      </x:c>
      <x:c r="F388" s="1" t="s">
        <x:v>125</x:v>
      </x:c>
      <x:c r="G388" s="1" t="s">
        <x:v>114</x:v>
      </x:c>
      <x:c r="H388" s="1" t="s">
        <x:v>117</x:v>
      </x:c>
      <x:c r="I388" s="1" t="s">
        <x:v>118</x:v>
      </x:c>
      <x:c r="J388">
        <x:f t="shared" si="7"/>
        <x:v>0</x:v>
      </x:c>
      <x:c r="K388" t="n">
        <x:f>COUNTIFS(Grunnspill!$A:$A,Annex!B388)</x:f>
        <x:v>0</x:v>
      </x:c>
      <x:c r="L388" t="n">
        <x:f>COUNTIFS(Grunnspill!$A:$A,Annex!C388)</x:f>
        <x:v>0</x:v>
      </x:c>
      <x:c r="M388" t="n">
        <x:f>COUNTIFS(Grunnspill!$A:$A,Annex!D388)</x:f>
        <x:v>0</x:v>
      </x:c>
      <x:c r="N388" t="n">
        <x:f>COUNTIFS(Grunnspill!$A:$A,Annex!E388)</x:f>
        <x:v>0</x:v>
      </x:c>
      <x:c r="O388" t="n">
        <x:f>COUNTIFS(Grunnspill!$A:$A,Annex!F388)</x:f>
        <x:v>0</x:v>
      </x:c>
      <x:c r="P388" t="n">
        <x:f>COUNTIFS(Grunnspill!$A:$A,Annex!G388)</x:f>
        <x:v>0</x:v>
      </x:c>
      <x:c r="Q388" t="n">
        <x:f>COUNTIFS(Grunnspill!$A:$A,Annex!H388)</x:f>
        <x:v>0</x:v>
      </x:c>
      <x:c r="R388" t="n">
        <x:f>COUNTIFS(Grunnspill!$A:$A,Annex!I388)</x:f>
        <x:v>0</x:v>
      </x:c>
    </x:row>
    <x:row r="389">
      <x:c r="A389">
        <x:v>386</x:v>
      </x:c>
      <x:c r="B389" s="1" t="s">
        <x:v>115</x:v>
      </x:c>
      <x:c r="C389" s="1" t="s">
        <x:v>116</x:v>
      </x:c>
      <x:c r="D389" s="1" t="s">
        <x:v>124</x:v>
      </x:c>
      <x:c r="E389" s="1" t="s">
        <x:v>121</x:v>
      </x:c>
      <x:c r="F389" s="1" t="s">
        <x:v>125</x:v>
      </x:c>
      <x:c r="G389" s="1" t="s">
        <x:v>114</x:v>
      </x:c>
      <x:c r="H389" s="1" t="s">
        <x:v>117</x:v>
      </x:c>
      <x:c r="I389" s="1" t="s">
        <x:v>112</x:v>
      </x:c>
      <x:c r="J389">
        <x:f t="shared" si="7"/>
        <x:v>0</x:v>
      </x:c>
      <x:c r="K389" t="n">
        <x:f>COUNTIFS(Grunnspill!$A:$A,Annex!B389)</x:f>
        <x:v>0</x:v>
      </x:c>
      <x:c r="L389" t="n">
        <x:f>COUNTIFS(Grunnspill!$A:$A,Annex!C389)</x:f>
        <x:v>0</x:v>
      </x:c>
      <x:c r="M389" t="n">
        <x:f>COUNTIFS(Grunnspill!$A:$A,Annex!D389)</x:f>
        <x:v>0</x:v>
      </x:c>
      <x:c r="N389" t="n">
        <x:f>COUNTIFS(Grunnspill!$A:$A,Annex!E389)</x:f>
        <x:v>0</x:v>
      </x:c>
      <x:c r="O389" t="n">
        <x:f>COUNTIFS(Grunnspill!$A:$A,Annex!F389)</x:f>
        <x:v>0</x:v>
      </x:c>
      <x:c r="P389" t="n">
        <x:f>COUNTIFS(Grunnspill!$A:$A,Annex!G389)</x:f>
        <x:v>0</x:v>
      </x:c>
      <x:c r="Q389" t="n">
        <x:f>COUNTIFS(Grunnspill!$A:$A,Annex!H389)</x:f>
        <x:v>0</x:v>
      </x:c>
      <x:c r="R389" t="n">
        <x:f>COUNTIFS(Grunnspill!$A:$A,Annex!I389)</x:f>
        <x:v>0</x:v>
      </x:c>
    </x:row>
    <x:row r="390">
      <x:c r="A390">
        <x:v>387</x:v>
      </x:c>
      <x:c r="B390" s="1" t="s">
        <x:v>115</x:v>
      </x:c>
      <x:c r="C390" s="1" t="s">
        <x:v>116</x:v>
      </x:c>
      <x:c r="D390" s="1" t="s">
        <x:v>124</x:v>
      </x:c>
      <x:c r="E390" s="1" t="s">
        <x:v>121</x:v>
      </x:c>
      <x:c r="F390" s="1" t="s">
        <x:v>125</x:v>
      </x:c>
      <x:c r="G390" s="1" t="s">
        <x:v>114</x:v>
      </x:c>
      <x:c r="H390" s="1" t="s">
        <x:v>112</x:v>
      </x:c>
      <x:c r="I390" s="1" t="s">
        <x:v>118</x:v>
      </x:c>
      <x:c r="J390">
        <x:f t="shared" si="7"/>
        <x:v>0</x:v>
      </x:c>
      <x:c r="K390" t="n">
        <x:f>COUNTIFS(Grunnspill!$A:$A,Annex!B390)</x:f>
        <x:v>0</x:v>
      </x:c>
      <x:c r="L390" t="n">
        <x:f>COUNTIFS(Grunnspill!$A:$A,Annex!C390)</x:f>
        <x:v>0</x:v>
      </x:c>
      <x:c r="M390" t="n">
        <x:f>COUNTIFS(Grunnspill!$A:$A,Annex!D390)</x:f>
        <x:v>0</x:v>
      </x:c>
      <x:c r="N390" t="n">
        <x:f>COUNTIFS(Grunnspill!$A:$A,Annex!E390)</x:f>
        <x:v>0</x:v>
      </x:c>
      <x:c r="O390" t="n">
        <x:f>COUNTIFS(Grunnspill!$A:$A,Annex!F390)</x:f>
        <x:v>0</x:v>
      </x:c>
      <x:c r="P390" t="n">
        <x:f>COUNTIFS(Grunnspill!$A:$A,Annex!G390)</x:f>
        <x:v>0</x:v>
      </x:c>
      <x:c r="Q390" t="n">
        <x:f>COUNTIFS(Grunnspill!$A:$A,Annex!H390)</x:f>
        <x:v>0</x:v>
      </x:c>
      <x:c r="R390" t="n">
        <x:f>COUNTIFS(Grunnspill!$A:$A,Annex!I390)</x:f>
        <x:v>0</x:v>
      </x:c>
    </x:row>
    <x:row r="391">
      <x:c r="A391">
        <x:v>388</x:v>
      </x:c>
      <x:c r="B391" s="1" t="s">
        <x:v>115</x:v>
      </x:c>
      <x:c r="C391" s="1" t="s">
        <x:v>116</x:v>
      </x:c>
      <x:c r="D391" s="1" t="s">
        <x:v>124</x:v>
      </x:c>
      <x:c r="E391" s="1" t="s">
        <x:v>121</x:v>
      </x:c>
      <x:c r="F391" s="1" t="s">
        <x:v>125</x:v>
      </x:c>
      <x:c r="G391" s="1" t="s">
        <x:v>114</x:v>
      </x:c>
      <x:c r="H391" s="1" t="s">
        <x:v>117</x:v>
      </x:c>
      <x:c r="I391" s="1" t="s">
        <x:v>113</x:v>
      </x:c>
      <x:c r="J391">
        <x:f t="shared" si="7"/>
        <x:v>0</x:v>
      </x:c>
      <x:c r="K391" t="n">
        <x:f>COUNTIFS(Grunnspill!$A:$A,Annex!B391)</x:f>
        <x:v>0</x:v>
      </x:c>
      <x:c r="L391" t="n">
        <x:f>COUNTIFS(Grunnspill!$A:$A,Annex!C391)</x:f>
        <x:v>0</x:v>
      </x:c>
      <x:c r="M391" t="n">
        <x:f>COUNTIFS(Grunnspill!$A:$A,Annex!D391)</x:f>
        <x:v>0</x:v>
      </x:c>
      <x:c r="N391" t="n">
        <x:f>COUNTIFS(Grunnspill!$A:$A,Annex!E391)</x:f>
        <x:v>0</x:v>
      </x:c>
      <x:c r="O391" t="n">
        <x:f>COUNTIFS(Grunnspill!$A:$A,Annex!F391)</x:f>
        <x:v>0</x:v>
      </x:c>
      <x:c r="P391" t="n">
        <x:f>COUNTIFS(Grunnspill!$A:$A,Annex!G391)</x:f>
        <x:v>0</x:v>
      </x:c>
      <x:c r="Q391" t="n">
        <x:f>COUNTIFS(Grunnspill!$A:$A,Annex!H391)</x:f>
        <x:v>0</x:v>
      </x:c>
      <x:c r="R391" t="n">
        <x:f>COUNTIFS(Grunnspill!$A:$A,Annex!I391)</x:f>
        <x:v>0</x:v>
      </x:c>
    </x:row>
    <x:row r="392">
      <x:c r="A392">
        <x:v>389</x:v>
      </x:c>
      <x:c r="B392" s="1" t="s">
        <x:v>115</x:v>
      </x:c>
      <x:c r="C392" s="1" t="s">
        <x:v>116</x:v>
      </x:c>
      <x:c r="D392" s="1" t="s">
        <x:v>124</x:v>
      </x:c>
      <x:c r="E392" s="1" t="s">
        <x:v>121</x:v>
      </x:c>
      <x:c r="F392" s="1" t="s">
        <x:v>125</x:v>
      </x:c>
      <x:c r="G392" s="1" t="s">
        <x:v>114</x:v>
      </x:c>
      <x:c r="H392" s="1" t="s">
        <x:v>113</x:v>
      </x:c>
      <x:c r="I392" s="1" t="s">
        <x:v>118</x:v>
      </x:c>
      <x:c r="J392">
        <x:f t="shared" si="7"/>
        <x:v>0</x:v>
      </x:c>
      <x:c r="K392" t="n">
        <x:f>COUNTIFS(Grunnspill!$A:$A,Annex!B392)</x:f>
        <x:v>0</x:v>
      </x:c>
      <x:c r="L392" t="n">
        <x:f>COUNTIFS(Grunnspill!$A:$A,Annex!C392)</x:f>
        <x:v>0</x:v>
      </x:c>
      <x:c r="M392" t="n">
        <x:f>COUNTIFS(Grunnspill!$A:$A,Annex!D392)</x:f>
        <x:v>0</x:v>
      </x:c>
      <x:c r="N392" t="n">
        <x:f>COUNTIFS(Grunnspill!$A:$A,Annex!E392)</x:f>
        <x:v>0</x:v>
      </x:c>
      <x:c r="O392" t="n">
        <x:f>COUNTIFS(Grunnspill!$A:$A,Annex!F392)</x:f>
        <x:v>0</x:v>
      </x:c>
      <x:c r="P392" t="n">
        <x:f>COUNTIFS(Grunnspill!$A:$A,Annex!G392)</x:f>
        <x:v>0</x:v>
      </x:c>
      <x:c r="Q392" t="n">
        <x:f>COUNTIFS(Grunnspill!$A:$A,Annex!H392)</x:f>
        <x:v>0</x:v>
      </x:c>
      <x:c r="R392" t="n">
        <x:f>COUNTIFS(Grunnspill!$A:$A,Annex!I392)</x:f>
        <x:v>0</x:v>
      </x:c>
    </x:row>
    <x:row r="393">
      <x:c r="A393">
        <x:v>390</x:v>
      </x:c>
      <x:c r="B393" s="1" t="s">
        <x:v>115</x:v>
      </x:c>
      <x:c r="C393" s="1" t="s">
        <x:v>116</x:v>
      </x:c>
      <x:c r="D393" s="1" t="s">
        <x:v>124</x:v>
      </x:c>
      <x:c r="E393" s="1" t="s">
        <x:v>121</x:v>
      </x:c>
      <x:c r="F393" s="1" t="s">
        <x:v>125</x:v>
      </x:c>
      <x:c r="G393" s="1" t="s">
        <x:v>114</x:v>
      </x:c>
      <x:c r="H393" s="1" t="s">
        <x:v>113</x:v>
      </x:c>
      <x:c r="I393" s="1" t="s">
        <x:v>112</x:v>
      </x:c>
      <x:c r="J393">
        <x:f t="shared" si="7"/>
        <x:v>0</x:v>
      </x:c>
      <x:c r="K393" t="n">
        <x:f>COUNTIFS(Grunnspill!$A:$A,Annex!B393)</x:f>
        <x:v>0</x:v>
      </x:c>
      <x:c r="L393" t="n">
        <x:f>COUNTIFS(Grunnspill!$A:$A,Annex!C393)</x:f>
        <x:v>0</x:v>
      </x:c>
      <x:c r="M393" t="n">
        <x:f>COUNTIFS(Grunnspill!$A:$A,Annex!D393)</x:f>
        <x:v>0</x:v>
      </x:c>
      <x:c r="N393" t="n">
        <x:f>COUNTIFS(Grunnspill!$A:$A,Annex!E393)</x:f>
        <x:v>0</x:v>
      </x:c>
      <x:c r="O393" t="n">
        <x:f>COUNTIFS(Grunnspill!$A:$A,Annex!F393)</x:f>
        <x:v>0</x:v>
      </x:c>
      <x:c r="P393" t="n">
        <x:f>COUNTIFS(Grunnspill!$A:$A,Annex!G393)</x:f>
        <x:v>0</x:v>
      </x:c>
      <x:c r="Q393" t="n">
        <x:f>COUNTIFS(Grunnspill!$A:$A,Annex!H393)</x:f>
        <x:v>0</x:v>
      </x:c>
      <x:c r="R393" t="n">
        <x:f>COUNTIFS(Grunnspill!$A:$A,Annex!I393)</x:f>
        <x:v>0</x:v>
      </x:c>
    </x:row>
    <x:row r="394">
      <x:c r="A394">
        <x:v>391</x:v>
      </x:c>
      <x:c r="B394" s="1" t="s">
        <x:v>111</x:v>
      </x:c>
      <x:c r="C394" s="1" t="s">
        <x:v>112</x:v>
      </x:c>
      <x:c r="D394" s="1" t="s">
        <x:v>124</x:v>
      </x:c>
      <x:c r="E394" s="1" t="s">
        <x:v>125</x:v>
      </x:c>
      <x:c r="F394" s="1" t="s">
        <x:v>113</x:v>
      </x:c>
      <x:c r="G394" s="1" t="s">
        <x:v>121</x:v>
      </x:c>
      <x:c r="H394" s="1" t="s">
        <x:v>117</x:v>
      </x:c>
      <x:c r="I394" s="1" t="s">
        <x:v>118</x:v>
      </x:c>
      <x:c r="J394">
        <x:f t="shared" si="7"/>
        <x:v>0</x:v>
      </x:c>
      <x:c r="K394" t="n">
        <x:f>COUNTIFS(Grunnspill!$A:$A,Annex!B394)</x:f>
        <x:v>0</x:v>
      </x:c>
      <x:c r="L394" t="n">
        <x:f>COUNTIFS(Grunnspill!$A:$A,Annex!C394)</x:f>
        <x:v>0</x:v>
      </x:c>
      <x:c r="M394" t="n">
        <x:f>COUNTIFS(Grunnspill!$A:$A,Annex!D394)</x:f>
        <x:v>0</x:v>
      </x:c>
      <x:c r="N394" t="n">
        <x:f>COUNTIFS(Grunnspill!$A:$A,Annex!E394)</x:f>
        <x:v>0</x:v>
      </x:c>
      <x:c r="O394" t="n">
        <x:f>COUNTIFS(Grunnspill!$A:$A,Annex!F394)</x:f>
        <x:v>0</x:v>
      </x:c>
      <x:c r="P394" t="n">
        <x:f>COUNTIFS(Grunnspill!$A:$A,Annex!G394)</x:f>
        <x:v>0</x:v>
      </x:c>
      <x:c r="Q394" t="n">
        <x:f>COUNTIFS(Grunnspill!$A:$A,Annex!H394)</x:f>
        <x:v>0</x:v>
      </x:c>
      <x:c r="R394" t="n">
        <x:f>COUNTIFS(Grunnspill!$A:$A,Annex!I394)</x:f>
        <x:v>0</x:v>
      </x:c>
    </x:row>
    <x:row r="395">
      <x:c r="A395">
        <x:v>392</x:v>
      </x:c>
      <x:c r="B395" s="1" t="s">
        <x:v>111</x:v>
      </x:c>
      <x:c r="C395" s="1" t="s">
        <x:v>112</x:v>
      </x:c>
      <x:c r="D395" s="1" t="s">
        <x:v>124</x:v>
      </x:c>
      <x:c r="E395" s="1" t="s">
        <x:v>121</x:v>
      </x:c>
      <x:c r="F395" s="1" t="s">
        <x:v>125</x:v>
      </x:c>
      <x:c r="G395" s="1" t="s">
        <x:v>115</x:v>
      </x:c>
      <x:c r="H395" s="1" t="s">
        <x:v>117</x:v>
      </x:c>
      <x:c r="I395" s="1" t="s">
        <x:v>118</x:v>
      </x:c>
      <x:c r="J395">
        <x:f t="shared" si="7"/>
        <x:v>0</x:v>
      </x:c>
      <x:c r="K395" t="n">
        <x:f>COUNTIFS(Grunnspill!$A:$A,Annex!B395)</x:f>
        <x:v>0</x:v>
      </x:c>
      <x:c r="L395" t="n">
        <x:f>COUNTIFS(Grunnspill!$A:$A,Annex!C395)</x:f>
        <x:v>0</x:v>
      </x:c>
      <x:c r="M395" t="n">
        <x:f>COUNTIFS(Grunnspill!$A:$A,Annex!D395)</x:f>
        <x:v>0</x:v>
      </x:c>
      <x:c r="N395" t="n">
        <x:f>COUNTIFS(Grunnspill!$A:$A,Annex!E395)</x:f>
        <x:v>0</x:v>
      </x:c>
      <x:c r="O395" t="n">
        <x:f>COUNTIFS(Grunnspill!$A:$A,Annex!F395)</x:f>
        <x:v>0</x:v>
      </x:c>
      <x:c r="P395" t="n">
        <x:f>COUNTIFS(Grunnspill!$A:$A,Annex!G395)</x:f>
        <x:v>0</x:v>
      </x:c>
      <x:c r="Q395" t="n">
        <x:f>COUNTIFS(Grunnspill!$A:$A,Annex!H395)</x:f>
        <x:v>0</x:v>
      </x:c>
      <x:c r="R395" t="n">
        <x:f>COUNTIFS(Grunnspill!$A:$A,Annex!I395)</x:f>
        <x:v>0</x:v>
      </x:c>
    </x:row>
    <x:row r="396">
      <x:c r="A396">
        <x:v>393</x:v>
      </x:c>
      <x:c r="B396" s="1" t="s">
        <x:v>111</x:v>
      </x:c>
      <x:c r="C396" s="1" t="s">
        <x:v>113</x:v>
      </x:c>
      <x:c r="D396" s="1" t="s">
        <x:v>124</x:v>
      </x:c>
      <x:c r="E396" s="1" t="s">
        <x:v>121</x:v>
      </x:c>
      <x:c r="F396" s="1" t="s">
        <x:v>125</x:v>
      </x:c>
      <x:c r="G396" s="1" t="s">
        <x:v>115</x:v>
      </x:c>
      <x:c r="H396" s="1" t="s">
        <x:v>117</x:v>
      </x:c>
      <x:c r="I396" s="1" t="s">
        <x:v>118</x:v>
      </x:c>
      <x:c r="J396">
        <x:f t="shared" si="7"/>
        <x:v>0</x:v>
      </x:c>
      <x:c r="K396" t="n">
        <x:f>COUNTIFS(Grunnspill!$A:$A,Annex!B396)</x:f>
        <x:v>0</x:v>
      </x:c>
      <x:c r="L396" t="n">
        <x:f>COUNTIFS(Grunnspill!$A:$A,Annex!C396)</x:f>
        <x:v>0</x:v>
      </x:c>
      <x:c r="M396" t="n">
        <x:f>COUNTIFS(Grunnspill!$A:$A,Annex!D396)</x:f>
        <x:v>0</x:v>
      </x:c>
      <x:c r="N396" t="n">
        <x:f>COUNTIFS(Grunnspill!$A:$A,Annex!E396)</x:f>
        <x:v>0</x:v>
      </x:c>
      <x:c r="O396" t="n">
        <x:f>COUNTIFS(Grunnspill!$A:$A,Annex!F396)</x:f>
        <x:v>0</x:v>
      </x:c>
      <x:c r="P396" t="n">
        <x:f>COUNTIFS(Grunnspill!$A:$A,Annex!G396)</x:f>
        <x:v>0</x:v>
      </x:c>
      <x:c r="Q396" t="n">
        <x:f>COUNTIFS(Grunnspill!$A:$A,Annex!H396)</x:f>
        <x:v>0</x:v>
      </x:c>
      <x:c r="R396" t="n">
        <x:f>COUNTIFS(Grunnspill!$A:$A,Annex!I396)</x:f>
        <x:v>0</x:v>
      </x:c>
    </x:row>
    <x:row r="397">
      <x:c r="A397">
        <x:v>394</x:v>
      </x:c>
      <x:c r="B397" s="1" t="s">
        <x:v>111</x:v>
      </x:c>
      <x:c r="C397" s="1" t="s">
        <x:v>112</x:v>
      </x:c>
      <x:c r="D397" s="1" t="s">
        <x:v>124</x:v>
      </x:c>
      <x:c r="E397" s="1" t="s">
        <x:v>121</x:v>
      </x:c>
      <x:c r="F397" s="1" t="s">
        <x:v>125</x:v>
      </x:c>
      <x:c r="G397" s="1" t="s">
        <x:v>115</x:v>
      </x:c>
      <x:c r="H397" s="1" t="s">
        <x:v>117</x:v>
      </x:c>
      <x:c r="I397" s="1" t="s">
        <x:v>113</x:v>
      </x:c>
      <x:c r="J397">
        <x:f t="shared" si="7"/>
        <x:v>0</x:v>
      </x:c>
      <x:c r="K397" t="n">
        <x:f>COUNTIFS(Grunnspill!$A:$A,Annex!B397)</x:f>
        <x:v>0</x:v>
      </x:c>
      <x:c r="L397" t="n">
        <x:f>COUNTIFS(Grunnspill!$A:$A,Annex!C397)</x:f>
        <x:v>0</x:v>
      </x:c>
      <x:c r="M397" t="n">
        <x:f>COUNTIFS(Grunnspill!$A:$A,Annex!D397)</x:f>
        <x:v>0</x:v>
      </x:c>
      <x:c r="N397" t="n">
        <x:f>COUNTIFS(Grunnspill!$A:$A,Annex!E397)</x:f>
        <x:v>0</x:v>
      </x:c>
      <x:c r="O397" t="n">
        <x:f>COUNTIFS(Grunnspill!$A:$A,Annex!F397)</x:f>
        <x:v>0</x:v>
      </x:c>
      <x:c r="P397" t="n">
        <x:f>COUNTIFS(Grunnspill!$A:$A,Annex!G397)</x:f>
        <x:v>0</x:v>
      </x:c>
      <x:c r="Q397" t="n">
        <x:f>COUNTIFS(Grunnspill!$A:$A,Annex!H397)</x:f>
        <x:v>0</x:v>
      </x:c>
      <x:c r="R397" t="n">
        <x:f>COUNTIFS(Grunnspill!$A:$A,Annex!I397)</x:f>
        <x:v>0</x:v>
      </x:c>
    </x:row>
    <x:row r="398">
      <x:c r="A398">
        <x:v>395</x:v>
      </x:c>
      <x:c r="B398" s="1" t="s">
        <x:v>111</x:v>
      </x:c>
      <x:c r="C398" s="1" t="s">
        <x:v>112</x:v>
      </x:c>
      <x:c r="D398" s="1" t="s">
        <x:v>124</x:v>
      </x:c>
      <x:c r="E398" s="1" t="s">
        <x:v>121</x:v>
      </x:c>
      <x:c r="F398" s="1" t="s">
        <x:v>125</x:v>
      </x:c>
      <x:c r="G398" s="1" t="s">
        <x:v>115</x:v>
      </x:c>
      <x:c r="H398" s="1" t="s">
        <x:v>113</x:v>
      </x:c>
      <x:c r="I398" s="1" t="s">
        <x:v>118</x:v>
      </x:c>
      <x:c r="J398">
        <x:f t="shared" si="7"/>
        <x:v>0</x:v>
      </x:c>
      <x:c r="K398" t="n">
        <x:f>COUNTIFS(Grunnspill!$A:$A,Annex!B398)</x:f>
        <x:v>0</x:v>
      </x:c>
      <x:c r="L398" t="n">
        <x:f>COUNTIFS(Grunnspill!$A:$A,Annex!C398)</x:f>
        <x:v>0</x:v>
      </x:c>
      <x:c r="M398" t="n">
        <x:f>COUNTIFS(Grunnspill!$A:$A,Annex!D398)</x:f>
        <x:v>0</x:v>
      </x:c>
      <x:c r="N398" t="n">
        <x:f>COUNTIFS(Grunnspill!$A:$A,Annex!E398)</x:f>
        <x:v>0</x:v>
      </x:c>
      <x:c r="O398" t="n">
        <x:f>COUNTIFS(Grunnspill!$A:$A,Annex!F398)</x:f>
        <x:v>0</x:v>
      </x:c>
      <x:c r="P398" t="n">
        <x:f>COUNTIFS(Grunnspill!$A:$A,Annex!G398)</x:f>
        <x:v>0</x:v>
      </x:c>
      <x:c r="Q398" t="n">
        <x:f>COUNTIFS(Grunnspill!$A:$A,Annex!H398)</x:f>
        <x:v>0</x:v>
      </x:c>
      <x:c r="R398" t="n">
        <x:f>COUNTIFS(Grunnspill!$A:$A,Annex!I398)</x:f>
        <x:v>0</x:v>
      </x:c>
    </x:row>
    <x:row r="399">
      <x:c r="A399">
        <x:v>396</x:v>
      </x:c>
      <x:c r="B399" s="1" t="s">
        <x:v>111</x:v>
      </x:c>
      <x:c r="C399" s="1" t="s">
        <x:v>112</x:v>
      </x:c>
      <x:c r="D399" s="1" t="s">
        <x:v>124</x:v>
      </x:c>
      <x:c r="E399" s="1" t="s">
        <x:v>121</x:v>
      </x:c>
      <x:c r="F399" s="1" t="s">
        <x:v>125</x:v>
      </x:c>
      <x:c r="G399" s="1" t="s">
        <x:v>116</x:v>
      </x:c>
      <x:c r="H399" s="1" t="s">
        <x:v>117</x:v>
      </x:c>
      <x:c r="I399" s="1" t="s">
        <x:v>118</x:v>
      </x:c>
      <x:c r="J399">
        <x:f t="shared" si="7"/>
        <x:v>0</x:v>
      </x:c>
      <x:c r="K399" t="n">
        <x:f>COUNTIFS(Grunnspill!$A:$A,Annex!B399)</x:f>
        <x:v>0</x:v>
      </x:c>
      <x:c r="L399" t="n">
        <x:f>COUNTIFS(Grunnspill!$A:$A,Annex!C399)</x:f>
        <x:v>0</x:v>
      </x:c>
      <x:c r="M399" t="n">
        <x:f>COUNTIFS(Grunnspill!$A:$A,Annex!D399)</x:f>
        <x:v>0</x:v>
      </x:c>
      <x:c r="N399" t="n">
        <x:f>COUNTIFS(Grunnspill!$A:$A,Annex!E399)</x:f>
        <x:v>0</x:v>
      </x:c>
      <x:c r="O399" t="n">
        <x:f>COUNTIFS(Grunnspill!$A:$A,Annex!F399)</x:f>
        <x:v>0</x:v>
      </x:c>
      <x:c r="P399" t="n">
        <x:f>COUNTIFS(Grunnspill!$A:$A,Annex!G399)</x:f>
        <x:v>0</x:v>
      </x:c>
      <x:c r="Q399" t="n">
        <x:f>COUNTIFS(Grunnspill!$A:$A,Annex!H399)</x:f>
        <x:v>0</x:v>
      </x:c>
      <x:c r="R399" t="n">
        <x:f>COUNTIFS(Grunnspill!$A:$A,Annex!I399)</x:f>
        <x:v>0</x:v>
      </x:c>
    </x:row>
    <x:row r="400">
      <x:c r="A400">
        <x:v>397</x:v>
      </x:c>
      <x:c r="B400" s="1" t="s">
        <x:v>111</x:v>
      </x:c>
      <x:c r="C400" s="1" t="s">
        <x:v>116</x:v>
      </x:c>
      <x:c r="D400" s="1" t="s">
        <x:v>124</x:v>
      </x:c>
      <x:c r="E400" s="1" t="s">
        <x:v>125</x:v>
      </x:c>
      <x:c r="F400" s="1" t="s">
        <x:v>113</x:v>
      </x:c>
      <x:c r="G400" s="1" t="s">
        <x:v>121</x:v>
      </x:c>
      <x:c r="H400" s="1" t="s">
        <x:v>117</x:v>
      </x:c>
      <x:c r="I400" s="1" t="s">
        <x:v>118</x:v>
      </x:c>
      <x:c r="J400">
        <x:f t="shared" si="7"/>
        <x:v>0</x:v>
      </x:c>
      <x:c r="K400" t="n">
        <x:f>COUNTIFS(Grunnspill!$A:$A,Annex!B400)</x:f>
        <x:v>0</x:v>
      </x:c>
      <x:c r="L400" t="n">
        <x:f>COUNTIFS(Grunnspill!$A:$A,Annex!C400)</x:f>
        <x:v>0</x:v>
      </x:c>
      <x:c r="M400" t="n">
        <x:f>COUNTIFS(Grunnspill!$A:$A,Annex!D400)</x:f>
        <x:v>0</x:v>
      </x:c>
      <x:c r="N400" t="n">
        <x:f>COUNTIFS(Grunnspill!$A:$A,Annex!E400)</x:f>
        <x:v>0</x:v>
      </x:c>
      <x:c r="O400" t="n">
        <x:f>COUNTIFS(Grunnspill!$A:$A,Annex!F400)</x:f>
        <x:v>0</x:v>
      </x:c>
      <x:c r="P400" t="n">
        <x:f>COUNTIFS(Grunnspill!$A:$A,Annex!G400)</x:f>
        <x:v>0</x:v>
      </x:c>
      <x:c r="Q400" t="n">
        <x:f>COUNTIFS(Grunnspill!$A:$A,Annex!H400)</x:f>
        <x:v>0</x:v>
      </x:c>
      <x:c r="R400" t="n">
        <x:f>COUNTIFS(Grunnspill!$A:$A,Annex!I400)</x:f>
        <x:v>0</x:v>
      </x:c>
    </x:row>
    <x:row r="401">
      <x:c r="A401">
        <x:v>398</x:v>
      </x:c>
      <x:c r="B401" s="1" t="s">
        <x:v>111</x:v>
      </x:c>
      <x:c r="C401" s="1" t="s">
        <x:v>112</x:v>
      </x:c>
      <x:c r="D401" s="1" t="s">
        <x:v>124</x:v>
      </x:c>
      <x:c r="E401" s="1" t="s">
        <x:v>121</x:v>
      </x:c>
      <x:c r="F401" s="1" t="s">
        <x:v>125</x:v>
      </x:c>
      <x:c r="G401" s="1" t="s">
        <x:v>116</x:v>
      </x:c>
      <x:c r="H401" s="1" t="s">
        <x:v>117</x:v>
      </x:c>
      <x:c r="I401" s="1" t="s">
        <x:v>113</x:v>
      </x:c>
      <x:c r="J401">
        <x:f t="shared" si="7"/>
        <x:v>0</x:v>
      </x:c>
      <x:c r="K401" t="n">
        <x:f>COUNTIFS(Grunnspill!$A:$A,Annex!B401)</x:f>
        <x:v>0</x:v>
      </x:c>
      <x:c r="L401" t="n">
        <x:f>COUNTIFS(Grunnspill!$A:$A,Annex!C401)</x:f>
        <x:v>0</x:v>
      </x:c>
      <x:c r="M401" t="n">
        <x:f>COUNTIFS(Grunnspill!$A:$A,Annex!D401)</x:f>
        <x:v>0</x:v>
      </x:c>
      <x:c r="N401" t="n">
        <x:f>COUNTIFS(Grunnspill!$A:$A,Annex!E401)</x:f>
        <x:v>0</x:v>
      </x:c>
      <x:c r="O401" t="n">
        <x:f>COUNTIFS(Grunnspill!$A:$A,Annex!F401)</x:f>
        <x:v>0</x:v>
      </x:c>
      <x:c r="P401" t="n">
        <x:f>COUNTIFS(Grunnspill!$A:$A,Annex!G401)</x:f>
        <x:v>0</x:v>
      </x:c>
      <x:c r="Q401" t="n">
        <x:f>COUNTIFS(Grunnspill!$A:$A,Annex!H401)</x:f>
        <x:v>0</x:v>
      </x:c>
      <x:c r="R401" t="n">
        <x:f>COUNTIFS(Grunnspill!$A:$A,Annex!I401)</x:f>
        <x:v>0</x:v>
      </x:c>
    </x:row>
    <x:row r="402">
      <x:c r="A402">
        <x:v>399</x:v>
      </x:c>
      <x:c r="B402" s="1" t="s">
        <x:v>111</x:v>
      </x:c>
      <x:c r="C402" s="1" t="s">
        <x:v>112</x:v>
      </x:c>
      <x:c r="D402" s="1" t="s">
        <x:v>124</x:v>
      </x:c>
      <x:c r="E402" s="1" t="s">
        <x:v>121</x:v>
      </x:c>
      <x:c r="F402" s="1" t="s">
        <x:v>125</x:v>
      </x:c>
      <x:c r="G402" s="1" t="s">
        <x:v>116</x:v>
      </x:c>
      <x:c r="H402" s="1" t="s">
        <x:v>113</x:v>
      </x:c>
      <x:c r="I402" s="1" t="s">
        <x:v>118</x:v>
      </x:c>
      <x:c r="J402">
        <x:f t="shared" si="7"/>
        <x:v>0</x:v>
      </x:c>
      <x:c r="K402" t="n">
        <x:f>COUNTIFS(Grunnspill!$A:$A,Annex!B402)</x:f>
        <x:v>0</x:v>
      </x:c>
      <x:c r="L402" t="n">
        <x:f>COUNTIFS(Grunnspill!$A:$A,Annex!C402)</x:f>
        <x:v>0</x:v>
      </x:c>
      <x:c r="M402" t="n">
        <x:f>COUNTIFS(Grunnspill!$A:$A,Annex!D402)</x:f>
        <x:v>0</x:v>
      </x:c>
      <x:c r="N402" t="n">
        <x:f>COUNTIFS(Grunnspill!$A:$A,Annex!E402)</x:f>
        <x:v>0</x:v>
      </x:c>
      <x:c r="O402" t="n">
        <x:f>COUNTIFS(Grunnspill!$A:$A,Annex!F402)</x:f>
        <x:v>0</x:v>
      </x:c>
      <x:c r="P402" t="n">
        <x:f>COUNTIFS(Grunnspill!$A:$A,Annex!G402)</x:f>
        <x:v>0</x:v>
      </x:c>
      <x:c r="Q402" t="n">
        <x:f>COUNTIFS(Grunnspill!$A:$A,Annex!H402)</x:f>
        <x:v>0</x:v>
      </x:c>
      <x:c r="R402" t="n">
        <x:f>COUNTIFS(Grunnspill!$A:$A,Annex!I402)</x:f>
        <x:v>0</x:v>
      </x:c>
    </x:row>
    <x:row r="403">
      <x:c r="A403">
        <x:v>400</x:v>
      </x:c>
      <x:c r="B403" s="1" t="s">
        <x:v>111</x:v>
      </x:c>
      <x:c r="C403" s="1" t="s">
        <x:v>116</x:v>
      </x:c>
      <x:c r="D403" s="1" t="s">
        <x:v>124</x:v>
      </x:c>
      <x:c r="E403" s="1" t="s">
        <x:v>121</x:v>
      </x:c>
      <x:c r="F403" s="1" t="s">
        <x:v>125</x:v>
      </x:c>
      <x:c r="G403" s="1" t="s">
        <x:v>115</x:v>
      </x:c>
      <x:c r="H403" s="1" t="s">
        <x:v>117</x:v>
      </x:c>
      <x:c r="I403" s="1" t="s">
        <x:v>118</x:v>
      </x:c>
      <x:c r="J403">
        <x:f t="shared" si="7"/>
        <x:v>0</x:v>
      </x:c>
      <x:c r="K403" t="n">
        <x:f>COUNTIFS(Grunnspill!$A:$A,Annex!B403)</x:f>
        <x:v>0</x:v>
      </x:c>
      <x:c r="L403" t="n">
        <x:f>COUNTIFS(Grunnspill!$A:$A,Annex!C403)</x:f>
        <x:v>0</x:v>
      </x:c>
      <x:c r="M403" t="n">
        <x:f>COUNTIFS(Grunnspill!$A:$A,Annex!D403)</x:f>
        <x:v>0</x:v>
      </x:c>
      <x:c r="N403" t="n">
        <x:f>COUNTIFS(Grunnspill!$A:$A,Annex!E403)</x:f>
        <x:v>0</x:v>
      </x:c>
      <x:c r="O403" t="n">
        <x:f>COUNTIFS(Grunnspill!$A:$A,Annex!F403)</x:f>
        <x:v>0</x:v>
      </x:c>
      <x:c r="P403" t="n">
        <x:f>COUNTIFS(Grunnspill!$A:$A,Annex!G403)</x:f>
        <x:v>0</x:v>
      </x:c>
      <x:c r="Q403" t="n">
        <x:f>COUNTIFS(Grunnspill!$A:$A,Annex!H403)</x:f>
        <x:v>0</x:v>
      </x:c>
      <x:c r="R403" t="n">
        <x:f>COUNTIFS(Grunnspill!$A:$A,Annex!I403)</x:f>
        <x:v>0</x:v>
      </x:c>
    </x:row>
    <x:row r="404">
      <x:c r="A404">
        <x:v>401</x:v>
      </x:c>
      <x:c r="B404" s="1" t="s">
        <x:v>115</x:v>
      </x:c>
      <x:c r="C404" s="1" t="s">
        <x:v>112</x:v>
      </x:c>
      <x:c r="D404" s="1" t="s">
        <x:v>124</x:v>
      </x:c>
      <x:c r="E404" s="1" t="s">
        <x:v>121</x:v>
      </x:c>
      <x:c r="F404" s="1" t="s">
        <x:v>125</x:v>
      </x:c>
      <x:c r="G404" s="1" t="s">
        <x:v>116</x:v>
      </x:c>
      <x:c r="H404" s="1" t="s">
        <x:v>117</x:v>
      </x:c>
      <x:c r="I404" s="1" t="s">
        <x:v>111</x:v>
      </x:c>
      <x:c r="J404">
        <x:f t="shared" si="7"/>
        <x:v>0</x:v>
      </x:c>
      <x:c r="K404" t="n">
        <x:f>COUNTIFS(Grunnspill!$A:$A,Annex!B404)</x:f>
        <x:v>0</x:v>
      </x:c>
      <x:c r="L404" t="n">
        <x:f>COUNTIFS(Grunnspill!$A:$A,Annex!C404)</x:f>
        <x:v>0</x:v>
      </x:c>
      <x:c r="M404" t="n">
        <x:f>COUNTIFS(Grunnspill!$A:$A,Annex!D404)</x:f>
        <x:v>0</x:v>
      </x:c>
      <x:c r="N404" t="n">
        <x:f>COUNTIFS(Grunnspill!$A:$A,Annex!E404)</x:f>
        <x:v>0</x:v>
      </x:c>
      <x:c r="O404" t="n">
        <x:f>COUNTIFS(Grunnspill!$A:$A,Annex!F404)</x:f>
        <x:v>0</x:v>
      </x:c>
      <x:c r="P404" t="n">
        <x:f>COUNTIFS(Grunnspill!$A:$A,Annex!G404)</x:f>
        <x:v>0</x:v>
      </x:c>
      <x:c r="Q404" t="n">
        <x:f>COUNTIFS(Grunnspill!$A:$A,Annex!H404)</x:f>
        <x:v>0</x:v>
      </x:c>
      <x:c r="R404" t="n">
        <x:f>COUNTIFS(Grunnspill!$A:$A,Annex!I404)</x:f>
        <x:v>0</x:v>
      </x:c>
    </x:row>
    <x:row r="405">
      <x:c r="A405">
        <x:v>402</x:v>
      </x:c>
      <x:c r="B405" s="1" t="s">
        <x:v>115</x:v>
      </x:c>
      <x:c r="C405" s="1" t="s">
        <x:v>112</x:v>
      </x:c>
      <x:c r="D405" s="1" t="s">
        <x:v>124</x:v>
      </x:c>
      <x:c r="E405" s="1" t="s">
        <x:v>121</x:v>
      </x:c>
      <x:c r="F405" s="1" t="s">
        <x:v>125</x:v>
      </x:c>
      <x:c r="G405" s="1" t="s">
        <x:v>116</x:v>
      </x:c>
      <x:c r="H405" s="1" t="s">
        <x:v>111</x:v>
      </x:c>
      <x:c r="I405" s="1" t="s">
        <x:v>118</x:v>
      </x:c>
      <x:c r="J405">
        <x:f t="shared" si="7"/>
        <x:v>0</x:v>
      </x:c>
      <x:c r="K405" t="n">
        <x:f>COUNTIFS(Grunnspill!$A:$A,Annex!B405)</x:f>
        <x:v>0</x:v>
      </x:c>
      <x:c r="L405" t="n">
        <x:f>COUNTIFS(Grunnspill!$A:$A,Annex!C405)</x:f>
        <x:v>0</x:v>
      </x:c>
      <x:c r="M405" t="n">
        <x:f>COUNTIFS(Grunnspill!$A:$A,Annex!D405)</x:f>
        <x:v>0</x:v>
      </x:c>
      <x:c r="N405" t="n">
        <x:f>COUNTIFS(Grunnspill!$A:$A,Annex!E405)</x:f>
        <x:v>0</x:v>
      </x:c>
      <x:c r="O405" t="n">
        <x:f>COUNTIFS(Grunnspill!$A:$A,Annex!F405)</x:f>
        <x:v>0</x:v>
      </x:c>
      <x:c r="P405" t="n">
        <x:f>COUNTIFS(Grunnspill!$A:$A,Annex!G405)</x:f>
        <x:v>0</x:v>
      </x:c>
      <x:c r="Q405" t="n">
        <x:f>COUNTIFS(Grunnspill!$A:$A,Annex!H405)</x:f>
        <x:v>0</x:v>
      </x:c>
      <x:c r="R405" t="n">
        <x:f>COUNTIFS(Grunnspill!$A:$A,Annex!I405)</x:f>
        <x:v>0</x:v>
      </x:c>
    </x:row>
    <x:row r="406">
      <x:c r="A406">
        <x:v>403</x:v>
      </x:c>
      <x:c r="B406" s="1" t="s">
        <x:v>111</x:v>
      </x:c>
      <x:c r="C406" s="1" t="s">
        <x:v>116</x:v>
      </x:c>
      <x:c r="D406" s="1" t="s">
        <x:v>124</x:v>
      </x:c>
      <x:c r="E406" s="1" t="s">
        <x:v>121</x:v>
      </x:c>
      <x:c r="F406" s="1" t="s">
        <x:v>125</x:v>
      </x:c>
      <x:c r="G406" s="1" t="s">
        <x:v>115</x:v>
      </x:c>
      <x:c r="H406" s="1" t="s">
        <x:v>117</x:v>
      </x:c>
      <x:c r="I406" s="1" t="s">
        <x:v>113</x:v>
      </x:c>
      <x:c r="J406" t="n">
        <x:f t="shared" ref="J406:J469" si="8">SUM(K406:R406)</x:f>
        <x:v>0</x:v>
      </x:c>
      <x:c r="K406" t="n">
        <x:f>COUNTIFS(Grunnspill!$A:$A,Annex!B406)</x:f>
        <x:v>0</x:v>
      </x:c>
      <x:c r="L406" t="n">
        <x:f>COUNTIFS(Grunnspill!$A:$A,Annex!C406)</x:f>
        <x:v>0</x:v>
      </x:c>
      <x:c r="M406" t="n">
        <x:f>COUNTIFS(Grunnspill!$A:$A,Annex!D406)</x:f>
        <x:v>0</x:v>
      </x:c>
      <x:c r="N406" t="n">
        <x:f>COUNTIFS(Grunnspill!$A:$A,Annex!E406)</x:f>
        <x:v>0</x:v>
      </x:c>
      <x:c r="O406" t="n">
        <x:f>COUNTIFS(Grunnspill!$A:$A,Annex!F406)</x:f>
        <x:v>0</x:v>
      </x:c>
      <x:c r="P406" t="n">
        <x:f>COUNTIFS(Grunnspill!$A:$A,Annex!G406)</x:f>
        <x:v>0</x:v>
      </x:c>
      <x:c r="Q406" t="n">
        <x:f>COUNTIFS(Grunnspill!$A:$A,Annex!H406)</x:f>
        <x:v>0</x:v>
      </x:c>
      <x:c r="R406" t="n">
        <x:f>COUNTIFS(Grunnspill!$A:$A,Annex!I406)</x:f>
        <x:v>0</x:v>
      </x:c>
    </x:row>
    <x:row r="407">
      <x:c r="A407">
        <x:v>404</x:v>
      </x:c>
      <x:c r="B407" s="1" t="s">
        <x:v>111</x:v>
      </x:c>
      <x:c r="C407" s="1" t="s">
        <x:v>116</x:v>
      </x:c>
      <x:c r="D407" s="1" t="s">
        <x:v>124</x:v>
      </x:c>
      <x:c r="E407" s="1" t="s">
        <x:v>121</x:v>
      </x:c>
      <x:c r="F407" s="1" t="s">
        <x:v>125</x:v>
      </x:c>
      <x:c r="G407" s="1" t="s">
        <x:v>115</x:v>
      </x:c>
      <x:c r="H407" s="1" t="s">
        <x:v>113</x:v>
      </x:c>
      <x:c r="I407" s="1" t="s">
        <x:v>118</x:v>
      </x:c>
      <x:c r="J407">
        <x:f t="shared" si="8"/>
        <x:v>0</x:v>
      </x:c>
      <x:c r="K407" t="n">
        <x:f>COUNTIFS(Grunnspill!$A:$A,Annex!B407)</x:f>
        <x:v>0</x:v>
      </x:c>
      <x:c r="L407" t="n">
        <x:f>COUNTIFS(Grunnspill!$A:$A,Annex!C407)</x:f>
        <x:v>0</x:v>
      </x:c>
      <x:c r="M407" t="n">
        <x:f>COUNTIFS(Grunnspill!$A:$A,Annex!D407)</x:f>
        <x:v>0</x:v>
      </x:c>
      <x:c r="N407" t="n">
        <x:f>COUNTIFS(Grunnspill!$A:$A,Annex!E407)</x:f>
        <x:v>0</x:v>
      </x:c>
      <x:c r="O407" t="n">
        <x:f>COUNTIFS(Grunnspill!$A:$A,Annex!F407)</x:f>
        <x:v>0</x:v>
      </x:c>
      <x:c r="P407" t="n">
        <x:f>COUNTIFS(Grunnspill!$A:$A,Annex!G407)</x:f>
        <x:v>0</x:v>
      </x:c>
      <x:c r="Q407" t="n">
        <x:f>COUNTIFS(Grunnspill!$A:$A,Annex!H407)</x:f>
        <x:v>0</x:v>
      </x:c>
      <x:c r="R407" t="n">
        <x:f>COUNTIFS(Grunnspill!$A:$A,Annex!I407)</x:f>
        <x:v>0</x:v>
      </x:c>
    </x:row>
    <x:row r="408">
      <x:c r="A408">
        <x:v>405</x:v>
      </x:c>
      <x:c r="B408" s="1" t="s">
        <x:v>115</x:v>
      </x:c>
      <x:c r="C408" s="1" t="s">
        <x:v>112</x:v>
      </x:c>
      <x:c r="D408" s="1" t="s">
        <x:v>124</x:v>
      </x:c>
      <x:c r="E408" s="1" t="s">
        <x:v>121</x:v>
      </x:c>
      <x:c r="F408" s="1" t="s">
        <x:v>125</x:v>
      </x:c>
      <x:c r="G408" s="1" t="s">
        <x:v>116</x:v>
      </x:c>
      <x:c r="H408" s="1" t="s">
        <x:v>111</x:v>
      </x:c>
      <x:c r="I408" s="1" t="s">
        <x:v>113</x:v>
      </x:c>
      <x:c r="J408">
        <x:f t="shared" si="8"/>
        <x:v>0</x:v>
      </x:c>
      <x:c r="K408" t="n">
        <x:f>COUNTIFS(Grunnspill!$A:$A,Annex!B408)</x:f>
        <x:v>0</x:v>
      </x:c>
      <x:c r="L408" t="n">
        <x:f>COUNTIFS(Grunnspill!$A:$A,Annex!C408)</x:f>
        <x:v>0</x:v>
      </x:c>
      <x:c r="M408" t="n">
        <x:f>COUNTIFS(Grunnspill!$A:$A,Annex!D408)</x:f>
        <x:v>0</x:v>
      </x:c>
      <x:c r="N408" t="n">
        <x:f>COUNTIFS(Grunnspill!$A:$A,Annex!E408)</x:f>
        <x:v>0</x:v>
      </x:c>
      <x:c r="O408" t="n">
        <x:f>COUNTIFS(Grunnspill!$A:$A,Annex!F408)</x:f>
        <x:v>0</x:v>
      </x:c>
      <x:c r="P408" t="n">
        <x:f>COUNTIFS(Grunnspill!$A:$A,Annex!G408)</x:f>
        <x:v>0</x:v>
      </x:c>
      <x:c r="Q408" t="n">
        <x:f>COUNTIFS(Grunnspill!$A:$A,Annex!H408)</x:f>
        <x:v>0</x:v>
      </x:c>
      <x:c r="R408" t="n">
        <x:f>COUNTIFS(Grunnspill!$A:$A,Annex!I408)</x:f>
        <x:v>0</x:v>
      </x:c>
    </x:row>
    <x:row r="409">
      <x:c r="A409">
        <x:v>406</x:v>
      </x:c>
      <x:c r="B409" s="1" t="s">
        <x:v>111</x:v>
      </x:c>
      <x:c r="C409" s="1" t="s">
        <x:v>112</x:v>
      </x:c>
      <x:c r="D409" s="1" t="s">
        <x:v>124</x:v>
      </x:c>
      <x:c r="E409" s="1" t="s">
        <x:v>121</x:v>
      </x:c>
      <x:c r="F409" s="1" t="s">
        <x:v>125</x:v>
      </x:c>
      <x:c r="G409" s="1" t="s">
        <x:v>114</x:v>
      </x:c>
      <x:c r="H409" s="1" t="s">
        <x:v>117</x:v>
      </x:c>
      <x:c r="I409" s="1" t="s">
        <x:v>118</x:v>
      </x:c>
      <x:c r="J409">
        <x:f t="shared" si="8"/>
        <x:v>0</x:v>
      </x:c>
      <x:c r="K409" t="n">
        <x:f>COUNTIFS(Grunnspill!$A:$A,Annex!B409)</x:f>
        <x:v>0</x:v>
      </x:c>
      <x:c r="L409" t="n">
        <x:f>COUNTIFS(Grunnspill!$A:$A,Annex!C409)</x:f>
        <x:v>0</x:v>
      </x:c>
      <x:c r="M409" t="n">
        <x:f>COUNTIFS(Grunnspill!$A:$A,Annex!D409)</x:f>
        <x:v>0</x:v>
      </x:c>
      <x:c r="N409" t="n">
        <x:f>COUNTIFS(Grunnspill!$A:$A,Annex!E409)</x:f>
        <x:v>0</x:v>
      </x:c>
      <x:c r="O409" t="n">
        <x:f>COUNTIFS(Grunnspill!$A:$A,Annex!F409)</x:f>
        <x:v>0</x:v>
      </x:c>
      <x:c r="P409" t="n">
        <x:f>COUNTIFS(Grunnspill!$A:$A,Annex!G409)</x:f>
        <x:v>0</x:v>
      </x:c>
      <x:c r="Q409" t="n">
        <x:f>COUNTIFS(Grunnspill!$A:$A,Annex!H409)</x:f>
        <x:v>0</x:v>
      </x:c>
      <x:c r="R409" t="n">
        <x:f>COUNTIFS(Grunnspill!$A:$A,Annex!I409)</x:f>
        <x:v>0</x:v>
      </x:c>
    </x:row>
    <x:row r="410">
      <x:c r="A410">
        <x:v>407</x:v>
      </x:c>
      <x:c r="B410" s="1" t="s">
        <x:v>111</x:v>
      </x:c>
      <x:c r="C410" s="1" t="s">
        <x:v>113</x:v>
      </x:c>
      <x:c r="D410" s="1" t="s">
        <x:v>124</x:v>
      </x:c>
      <x:c r="E410" s="1" t="s">
        <x:v>121</x:v>
      </x:c>
      <x:c r="F410" s="1" t="s">
        <x:v>125</x:v>
      </x:c>
      <x:c r="G410" s="1" t="s">
        <x:v>114</x:v>
      </x:c>
      <x:c r="H410" s="1" t="s">
        <x:v>117</x:v>
      </x:c>
      <x:c r="I410" s="1" t="s">
        <x:v>118</x:v>
      </x:c>
      <x:c r="J410">
        <x:f t="shared" si="8"/>
        <x:v>0</x:v>
      </x:c>
      <x:c r="K410" t="n">
        <x:f>COUNTIFS(Grunnspill!$A:$A,Annex!B410)</x:f>
        <x:v>0</x:v>
      </x:c>
      <x:c r="L410" t="n">
        <x:f>COUNTIFS(Grunnspill!$A:$A,Annex!C410)</x:f>
        <x:v>0</x:v>
      </x:c>
      <x:c r="M410" t="n">
        <x:f>COUNTIFS(Grunnspill!$A:$A,Annex!D410)</x:f>
        <x:v>0</x:v>
      </x:c>
      <x:c r="N410" t="n">
        <x:f>COUNTIFS(Grunnspill!$A:$A,Annex!E410)</x:f>
        <x:v>0</x:v>
      </x:c>
      <x:c r="O410" t="n">
        <x:f>COUNTIFS(Grunnspill!$A:$A,Annex!F410)</x:f>
        <x:v>0</x:v>
      </x:c>
      <x:c r="P410" t="n">
        <x:f>COUNTIFS(Grunnspill!$A:$A,Annex!G410)</x:f>
        <x:v>0</x:v>
      </x:c>
      <x:c r="Q410" t="n">
        <x:f>COUNTIFS(Grunnspill!$A:$A,Annex!H410)</x:f>
        <x:v>0</x:v>
      </x:c>
      <x:c r="R410" t="n">
        <x:f>COUNTIFS(Grunnspill!$A:$A,Annex!I410)</x:f>
        <x:v>0</x:v>
      </x:c>
    </x:row>
    <x:row r="411">
      <x:c r="A411">
        <x:v>408</x:v>
      </x:c>
      <x:c r="B411" s="1" t="s">
        <x:v>111</x:v>
      </x:c>
      <x:c r="C411" s="1" t="s">
        <x:v>112</x:v>
      </x:c>
      <x:c r="D411" s="1" t="s">
        <x:v>124</x:v>
      </x:c>
      <x:c r="E411" s="1" t="s">
        <x:v>121</x:v>
      </x:c>
      <x:c r="F411" s="1" t="s">
        <x:v>125</x:v>
      </x:c>
      <x:c r="G411" s="1" t="s">
        <x:v>114</x:v>
      </x:c>
      <x:c r="H411" s="1" t="s">
        <x:v>117</x:v>
      </x:c>
      <x:c r="I411" s="1" t="s">
        <x:v>113</x:v>
      </x:c>
      <x:c r="J411">
        <x:f t="shared" si="8"/>
        <x:v>0</x:v>
      </x:c>
      <x:c r="K411" t="n">
        <x:f>COUNTIFS(Grunnspill!$A:$A,Annex!B411)</x:f>
        <x:v>0</x:v>
      </x:c>
      <x:c r="L411" t="n">
        <x:f>COUNTIFS(Grunnspill!$A:$A,Annex!C411)</x:f>
        <x:v>0</x:v>
      </x:c>
      <x:c r="M411" t="n">
        <x:f>COUNTIFS(Grunnspill!$A:$A,Annex!D411)</x:f>
        <x:v>0</x:v>
      </x:c>
      <x:c r="N411" t="n">
        <x:f>COUNTIFS(Grunnspill!$A:$A,Annex!E411)</x:f>
        <x:v>0</x:v>
      </x:c>
      <x:c r="O411" t="n">
        <x:f>COUNTIFS(Grunnspill!$A:$A,Annex!F411)</x:f>
        <x:v>0</x:v>
      </x:c>
      <x:c r="P411" t="n">
        <x:f>COUNTIFS(Grunnspill!$A:$A,Annex!G411)</x:f>
        <x:v>0</x:v>
      </x:c>
      <x:c r="Q411" t="n">
        <x:f>COUNTIFS(Grunnspill!$A:$A,Annex!H411)</x:f>
        <x:v>0</x:v>
      </x:c>
      <x:c r="R411" t="n">
        <x:f>COUNTIFS(Grunnspill!$A:$A,Annex!I411)</x:f>
        <x:v>0</x:v>
      </x:c>
    </x:row>
    <x:row r="412">
      <x:c r="A412">
        <x:v>409</x:v>
      </x:c>
      <x:c r="B412" s="1" t="s">
        <x:v>111</x:v>
      </x:c>
      <x:c r="C412" s="1" t="s">
        <x:v>112</x:v>
      </x:c>
      <x:c r="D412" s="1" t="s">
        <x:v>124</x:v>
      </x:c>
      <x:c r="E412" s="1" t="s">
        <x:v>121</x:v>
      </x:c>
      <x:c r="F412" s="1" t="s">
        <x:v>125</x:v>
      </x:c>
      <x:c r="G412" s="1" t="s">
        <x:v>114</x:v>
      </x:c>
      <x:c r="H412" s="1" t="s">
        <x:v>113</x:v>
      </x:c>
      <x:c r="I412" s="1" t="s">
        <x:v>118</x:v>
      </x:c>
      <x:c r="J412">
        <x:f t="shared" si="8"/>
        <x:v>0</x:v>
      </x:c>
      <x:c r="K412" t="n">
        <x:f>COUNTIFS(Grunnspill!$A:$A,Annex!B412)</x:f>
        <x:v>0</x:v>
      </x:c>
      <x:c r="L412" t="n">
        <x:f>COUNTIFS(Grunnspill!$A:$A,Annex!C412)</x:f>
        <x:v>0</x:v>
      </x:c>
      <x:c r="M412" t="n">
        <x:f>COUNTIFS(Grunnspill!$A:$A,Annex!D412)</x:f>
        <x:v>0</x:v>
      </x:c>
      <x:c r="N412" t="n">
        <x:f>COUNTIFS(Grunnspill!$A:$A,Annex!E412)</x:f>
        <x:v>0</x:v>
      </x:c>
      <x:c r="O412" t="n">
        <x:f>COUNTIFS(Grunnspill!$A:$A,Annex!F412)</x:f>
        <x:v>0</x:v>
      </x:c>
      <x:c r="P412" t="n">
        <x:f>COUNTIFS(Grunnspill!$A:$A,Annex!G412)</x:f>
        <x:v>0</x:v>
      </x:c>
      <x:c r="Q412" t="n">
        <x:f>COUNTIFS(Grunnspill!$A:$A,Annex!H412)</x:f>
        <x:v>0</x:v>
      </x:c>
      <x:c r="R412" t="n">
        <x:f>COUNTIFS(Grunnspill!$A:$A,Annex!I412)</x:f>
        <x:v>0</x:v>
      </x:c>
    </x:row>
    <x:row r="413">
      <x:c r="A413">
        <x:v>410</x:v>
      </x:c>
      <x:c r="B413" s="1" t="s">
        <x:v>115</x:v>
      </x:c>
      <x:c r="C413" s="1" t="s">
        <x:v>111</x:v>
      </x:c>
      <x:c r="D413" s="1" t="s">
        <x:v>124</x:v>
      </x:c>
      <x:c r="E413" s="1" t="s">
        <x:v>121</x:v>
      </x:c>
      <x:c r="F413" s="1" t="s">
        <x:v>125</x:v>
      </x:c>
      <x:c r="G413" s="1" t="s">
        <x:v>114</x:v>
      </x:c>
      <x:c r="H413" s="1" t="s">
        <x:v>117</x:v>
      </x:c>
      <x:c r="I413" s="1" t="s">
        <x:v>118</x:v>
      </x:c>
      <x:c r="J413">
        <x:f t="shared" si="8"/>
        <x:v>0</x:v>
      </x:c>
      <x:c r="K413" t="n">
        <x:f>COUNTIFS(Grunnspill!$A:$A,Annex!B413)</x:f>
        <x:v>0</x:v>
      </x:c>
      <x:c r="L413" t="n">
        <x:f>COUNTIFS(Grunnspill!$A:$A,Annex!C413)</x:f>
        <x:v>0</x:v>
      </x:c>
      <x:c r="M413" t="n">
        <x:f>COUNTIFS(Grunnspill!$A:$A,Annex!D413)</x:f>
        <x:v>0</x:v>
      </x:c>
      <x:c r="N413" t="n">
        <x:f>COUNTIFS(Grunnspill!$A:$A,Annex!E413)</x:f>
        <x:v>0</x:v>
      </x:c>
      <x:c r="O413" t="n">
        <x:f>COUNTIFS(Grunnspill!$A:$A,Annex!F413)</x:f>
        <x:v>0</x:v>
      </x:c>
      <x:c r="P413" t="n">
        <x:f>COUNTIFS(Grunnspill!$A:$A,Annex!G413)</x:f>
        <x:v>0</x:v>
      </x:c>
      <x:c r="Q413" t="n">
        <x:f>COUNTIFS(Grunnspill!$A:$A,Annex!H413)</x:f>
        <x:v>0</x:v>
      </x:c>
      <x:c r="R413" t="n">
        <x:f>COUNTIFS(Grunnspill!$A:$A,Annex!I413)</x:f>
        <x:v>0</x:v>
      </x:c>
    </x:row>
    <x:row r="414">
      <x:c r="A414">
        <x:v>411</x:v>
      </x:c>
      <x:c r="B414" s="1" t="s">
        <x:v>115</x:v>
      </x:c>
      <x:c r="C414" s="1" t="s">
        <x:v>112</x:v>
      </x:c>
      <x:c r="D414" s="1" t="s">
        <x:v>124</x:v>
      </x:c>
      <x:c r="E414" s="1" t="s">
        <x:v>121</x:v>
      </x:c>
      <x:c r="F414" s="1" t="s">
        <x:v>125</x:v>
      </x:c>
      <x:c r="G414" s="1" t="s">
        <x:v>114</x:v>
      </x:c>
      <x:c r="H414" s="1" t="s">
        <x:v>117</x:v>
      </x:c>
      <x:c r="I414" s="1" t="s">
        <x:v>111</x:v>
      </x:c>
      <x:c r="J414">
        <x:f t="shared" si="8"/>
        <x:v>0</x:v>
      </x:c>
      <x:c r="K414" t="n">
        <x:f>COUNTIFS(Grunnspill!$A:$A,Annex!B414)</x:f>
        <x:v>0</x:v>
      </x:c>
      <x:c r="L414" t="n">
        <x:f>COUNTIFS(Grunnspill!$A:$A,Annex!C414)</x:f>
        <x:v>0</x:v>
      </x:c>
      <x:c r="M414" t="n">
        <x:f>COUNTIFS(Grunnspill!$A:$A,Annex!D414)</x:f>
        <x:v>0</x:v>
      </x:c>
      <x:c r="N414" t="n">
        <x:f>COUNTIFS(Grunnspill!$A:$A,Annex!E414)</x:f>
        <x:v>0</x:v>
      </x:c>
      <x:c r="O414" t="n">
        <x:f>COUNTIFS(Grunnspill!$A:$A,Annex!F414)</x:f>
        <x:v>0</x:v>
      </x:c>
      <x:c r="P414" t="n">
        <x:f>COUNTIFS(Grunnspill!$A:$A,Annex!G414)</x:f>
        <x:v>0</x:v>
      </x:c>
      <x:c r="Q414" t="n">
        <x:f>COUNTIFS(Grunnspill!$A:$A,Annex!H414)</x:f>
        <x:v>0</x:v>
      </x:c>
      <x:c r="R414" t="n">
        <x:f>COUNTIFS(Grunnspill!$A:$A,Annex!I414)</x:f>
        <x:v>0</x:v>
      </x:c>
    </x:row>
    <x:row r="415">
      <x:c r="A415">
        <x:v>412</x:v>
      </x:c>
      <x:c r="B415" s="1" t="s">
        <x:v>115</x:v>
      </x:c>
      <x:c r="C415" s="1" t="s">
        <x:v>112</x:v>
      </x:c>
      <x:c r="D415" s="1" t="s">
        <x:v>124</x:v>
      </x:c>
      <x:c r="E415" s="1" t="s">
        <x:v>121</x:v>
      </x:c>
      <x:c r="F415" s="1" t="s">
        <x:v>125</x:v>
      </x:c>
      <x:c r="G415" s="1" t="s">
        <x:v>114</x:v>
      </x:c>
      <x:c r="H415" s="1" t="s">
        <x:v>111</x:v>
      </x:c>
      <x:c r="I415" s="1" t="s">
        <x:v>118</x:v>
      </x:c>
      <x:c r="J415">
        <x:f t="shared" si="8"/>
        <x:v>0</x:v>
      </x:c>
      <x:c r="K415" t="n">
        <x:f>COUNTIFS(Grunnspill!$A:$A,Annex!B415)</x:f>
        <x:v>0</x:v>
      </x:c>
      <x:c r="L415" t="n">
        <x:f>COUNTIFS(Grunnspill!$A:$A,Annex!C415)</x:f>
        <x:v>0</x:v>
      </x:c>
      <x:c r="M415" t="n">
        <x:f>COUNTIFS(Grunnspill!$A:$A,Annex!D415)</x:f>
        <x:v>0</x:v>
      </x:c>
      <x:c r="N415" t="n">
        <x:f>COUNTIFS(Grunnspill!$A:$A,Annex!E415)</x:f>
        <x:v>0</x:v>
      </x:c>
      <x:c r="O415" t="n">
        <x:f>COUNTIFS(Grunnspill!$A:$A,Annex!F415)</x:f>
        <x:v>0</x:v>
      </x:c>
      <x:c r="P415" t="n">
        <x:f>COUNTIFS(Grunnspill!$A:$A,Annex!G415)</x:f>
        <x:v>0</x:v>
      </x:c>
      <x:c r="Q415" t="n">
        <x:f>COUNTIFS(Grunnspill!$A:$A,Annex!H415)</x:f>
        <x:v>0</x:v>
      </x:c>
      <x:c r="R415" t="n">
        <x:f>COUNTIFS(Grunnspill!$A:$A,Annex!I415)</x:f>
        <x:v>0</x:v>
      </x:c>
    </x:row>
    <x:row r="416">
      <x:c r="A416">
        <x:v>413</x:v>
      </x:c>
      <x:c r="B416" s="1" t="s">
        <x:v>115</x:v>
      </x:c>
      <x:c r="C416" s="1" t="s">
        <x:v>111</x:v>
      </x:c>
      <x:c r="D416" s="1" t="s">
        <x:v>124</x:v>
      </x:c>
      <x:c r="E416" s="1" t="s">
        <x:v>121</x:v>
      </x:c>
      <x:c r="F416" s="1" t="s">
        <x:v>125</x:v>
      </x:c>
      <x:c r="G416" s="1" t="s">
        <x:v>114</x:v>
      </x:c>
      <x:c r="H416" s="1" t="s">
        <x:v>117</x:v>
      </x:c>
      <x:c r="I416" s="1" t="s">
        <x:v>113</x:v>
      </x:c>
      <x:c r="J416">
        <x:f t="shared" si="8"/>
        <x:v>0</x:v>
      </x:c>
      <x:c r="K416" t="n">
        <x:f>COUNTIFS(Grunnspill!$A:$A,Annex!B416)</x:f>
        <x:v>0</x:v>
      </x:c>
      <x:c r="L416" t="n">
        <x:f>COUNTIFS(Grunnspill!$A:$A,Annex!C416)</x:f>
        <x:v>0</x:v>
      </x:c>
      <x:c r="M416" t="n">
        <x:f>COUNTIFS(Grunnspill!$A:$A,Annex!D416)</x:f>
        <x:v>0</x:v>
      </x:c>
      <x:c r="N416" t="n">
        <x:f>COUNTIFS(Grunnspill!$A:$A,Annex!E416)</x:f>
        <x:v>0</x:v>
      </x:c>
      <x:c r="O416" t="n">
        <x:f>COUNTIFS(Grunnspill!$A:$A,Annex!F416)</x:f>
        <x:v>0</x:v>
      </x:c>
      <x:c r="P416" t="n">
        <x:f>COUNTIFS(Grunnspill!$A:$A,Annex!G416)</x:f>
        <x:v>0</x:v>
      </x:c>
      <x:c r="Q416" t="n">
        <x:f>COUNTIFS(Grunnspill!$A:$A,Annex!H416)</x:f>
        <x:v>0</x:v>
      </x:c>
      <x:c r="R416" t="n">
        <x:f>COUNTIFS(Grunnspill!$A:$A,Annex!I416)</x:f>
        <x:v>0</x:v>
      </x:c>
    </x:row>
    <x:row r="417">
      <x:c r="A417">
        <x:v>414</x:v>
      </x:c>
      <x:c r="B417" s="1" t="s">
        <x:v>115</x:v>
      </x:c>
      <x:c r="C417" s="1" t="s">
        <x:v>111</x:v>
      </x:c>
      <x:c r="D417" s="1" t="s">
        <x:v>124</x:v>
      </x:c>
      <x:c r="E417" s="1" t="s">
        <x:v>121</x:v>
      </x:c>
      <x:c r="F417" s="1" t="s">
        <x:v>125</x:v>
      </x:c>
      <x:c r="G417" s="1" t="s">
        <x:v>114</x:v>
      </x:c>
      <x:c r="H417" s="1" t="s">
        <x:v>113</x:v>
      </x:c>
      <x:c r="I417" s="1" t="s">
        <x:v>118</x:v>
      </x:c>
      <x:c r="J417">
        <x:f t="shared" si="8"/>
        <x:v>0</x:v>
      </x:c>
      <x:c r="K417" t="n">
        <x:f>COUNTIFS(Grunnspill!$A:$A,Annex!B417)</x:f>
        <x:v>0</x:v>
      </x:c>
      <x:c r="L417" t="n">
        <x:f>COUNTIFS(Grunnspill!$A:$A,Annex!C417)</x:f>
        <x:v>0</x:v>
      </x:c>
      <x:c r="M417" t="n">
        <x:f>COUNTIFS(Grunnspill!$A:$A,Annex!D417)</x:f>
        <x:v>0</x:v>
      </x:c>
      <x:c r="N417" t="n">
        <x:f>COUNTIFS(Grunnspill!$A:$A,Annex!E417)</x:f>
        <x:v>0</x:v>
      </x:c>
      <x:c r="O417" t="n">
        <x:f>COUNTIFS(Grunnspill!$A:$A,Annex!F417)</x:f>
        <x:v>0</x:v>
      </x:c>
      <x:c r="P417" t="n">
        <x:f>COUNTIFS(Grunnspill!$A:$A,Annex!G417)</x:f>
        <x:v>0</x:v>
      </x:c>
      <x:c r="Q417" t="n">
        <x:f>COUNTIFS(Grunnspill!$A:$A,Annex!H417)</x:f>
        <x:v>0</x:v>
      </x:c>
      <x:c r="R417" t="n">
        <x:f>COUNTIFS(Grunnspill!$A:$A,Annex!I417)</x:f>
        <x:v>0</x:v>
      </x:c>
    </x:row>
    <x:row r="418">
      <x:c r="A418">
        <x:v>415</x:v>
      </x:c>
      <x:c r="B418" s="1" t="s">
        <x:v>115</x:v>
      </x:c>
      <x:c r="C418" s="1" t="s">
        <x:v>112</x:v>
      </x:c>
      <x:c r="D418" s="1" t="s">
        <x:v>124</x:v>
      </x:c>
      <x:c r="E418" s="1" t="s">
        <x:v>121</x:v>
      </x:c>
      <x:c r="F418" s="1" t="s">
        <x:v>125</x:v>
      </x:c>
      <x:c r="G418" s="1" t="s">
        <x:v>114</x:v>
      </x:c>
      <x:c r="H418" s="1" t="s">
        <x:v>111</x:v>
      </x:c>
      <x:c r="I418" s="1" t="s">
        <x:v>113</x:v>
      </x:c>
      <x:c r="J418">
        <x:f t="shared" si="8"/>
        <x:v>0</x:v>
      </x:c>
      <x:c r="K418" t="n">
        <x:f>COUNTIFS(Grunnspill!$A:$A,Annex!B418)</x:f>
        <x:v>0</x:v>
      </x:c>
      <x:c r="L418" t="n">
        <x:f>COUNTIFS(Grunnspill!$A:$A,Annex!C418)</x:f>
        <x:v>0</x:v>
      </x:c>
      <x:c r="M418" t="n">
        <x:f>COUNTIFS(Grunnspill!$A:$A,Annex!D418)</x:f>
        <x:v>0</x:v>
      </x:c>
      <x:c r="N418" t="n">
        <x:f>COUNTIFS(Grunnspill!$A:$A,Annex!E418)</x:f>
        <x:v>0</x:v>
      </x:c>
      <x:c r="O418" t="n">
        <x:f>COUNTIFS(Grunnspill!$A:$A,Annex!F418)</x:f>
        <x:v>0</x:v>
      </x:c>
      <x:c r="P418" t="n">
        <x:f>COUNTIFS(Grunnspill!$A:$A,Annex!G418)</x:f>
        <x:v>0</x:v>
      </x:c>
      <x:c r="Q418" t="n">
        <x:f>COUNTIFS(Grunnspill!$A:$A,Annex!H418)</x:f>
        <x:v>0</x:v>
      </x:c>
      <x:c r="R418" t="n">
        <x:f>COUNTIFS(Grunnspill!$A:$A,Annex!I418)</x:f>
        <x:v>0</x:v>
      </x:c>
    </x:row>
    <x:row r="419">
      <x:c r="A419">
        <x:v>416</x:v>
      </x:c>
      <x:c r="B419" s="1" t="s">
        <x:v>111</x:v>
      </x:c>
      <x:c r="C419" s="1" t="s">
        <x:v>116</x:v>
      </x:c>
      <x:c r="D419" s="1" t="s">
        <x:v>124</x:v>
      </x:c>
      <x:c r="E419" s="1" t="s">
        <x:v>121</x:v>
      </x:c>
      <x:c r="F419" s="1" t="s">
        <x:v>125</x:v>
      </x:c>
      <x:c r="G419" s="1" t="s">
        <x:v>114</x:v>
      </x:c>
      <x:c r="H419" s="1" t="s">
        <x:v>117</x:v>
      </x:c>
      <x:c r="I419" s="1" t="s">
        <x:v>118</x:v>
      </x:c>
      <x:c r="J419">
        <x:f t="shared" si="8"/>
        <x:v>0</x:v>
      </x:c>
      <x:c r="K419" t="n">
        <x:f>COUNTIFS(Grunnspill!$A:$A,Annex!B419)</x:f>
        <x:v>0</x:v>
      </x:c>
      <x:c r="L419" t="n">
        <x:f>COUNTIFS(Grunnspill!$A:$A,Annex!C419)</x:f>
        <x:v>0</x:v>
      </x:c>
      <x:c r="M419" t="n">
        <x:f>COUNTIFS(Grunnspill!$A:$A,Annex!D419)</x:f>
        <x:v>0</x:v>
      </x:c>
      <x:c r="N419" t="n">
        <x:f>COUNTIFS(Grunnspill!$A:$A,Annex!E419)</x:f>
        <x:v>0</x:v>
      </x:c>
      <x:c r="O419" t="n">
        <x:f>COUNTIFS(Grunnspill!$A:$A,Annex!F419)</x:f>
        <x:v>0</x:v>
      </x:c>
      <x:c r="P419" t="n">
        <x:f>COUNTIFS(Grunnspill!$A:$A,Annex!G419)</x:f>
        <x:v>0</x:v>
      </x:c>
      <x:c r="Q419" t="n">
        <x:f>COUNTIFS(Grunnspill!$A:$A,Annex!H419)</x:f>
        <x:v>0</x:v>
      </x:c>
      <x:c r="R419" t="n">
        <x:f>COUNTIFS(Grunnspill!$A:$A,Annex!I419)</x:f>
        <x:v>0</x:v>
      </x:c>
    </x:row>
    <x:row r="420">
      <x:c r="A420">
        <x:v>417</x:v>
      </x:c>
      <x:c r="B420" s="1" t="s">
        <x:v>111</x:v>
      </x:c>
      <x:c r="C420" s="1" t="s">
        <x:v>116</x:v>
      </x:c>
      <x:c r="D420" s="1" t="s">
        <x:v>124</x:v>
      </x:c>
      <x:c r="E420" s="1" t="s">
        <x:v>121</x:v>
      </x:c>
      <x:c r="F420" s="1" t="s">
        <x:v>125</x:v>
      </x:c>
      <x:c r="G420" s="1" t="s">
        <x:v>114</x:v>
      </x:c>
      <x:c r="H420" s="1" t="s">
        <x:v>117</x:v>
      </x:c>
      <x:c r="I420" s="1" t="s">
        <x:v>112</x:v>
      </x:c>
      <x:c r="J420">
        <x:f t="shared" si="8"/>
        <x:v>0</x:v>
      </x:c>
      <x:c r="K420" t="n">
        <x:f>COUNTIFS(Grunnspill!$A:$A,Annex!B420)</x:f>
        <x:v>0</x:v>
      </x:c>
      <x:c r="L420" t="n">
        <x:f>COUNTIFS(Grunnspill!$A:$A,Annex!C420)</x:f>
        <x:v>0</x:v>
      </x:c>
      <x:c r="M420" t="n">
        <x:f>COUNTIFS(Grunnspill!$A:$A,Annex!D420)</x:f>
        <x:v>0</x:v>
      </x:c>
      <x:c r="N420" t="n">
        <x:f>COUNTIFS(Grunnspill!$A:$A,Annex!E420)</x:f>
        <x:v>0</x:v>
      </x:c>
      <x:c r="O420" t="n">
        <x:f>COUNTIFS(Grunnspill!$A:$A,Annex!F420)</x:f>
        <x:v>0</x:v>
      </x:c>
      <x:c r="P420" t="n">
        <x:f>COUNTIFS(Grunnspill!$A:$A,Annex!G420)</x:f>
        <x:v>0</x:v>
      </x:c>
      <x:c r="Q420" t="n">
        <x:f>COUNTIFS(Grunnspill!$A:$A,Annex!H420)</x:f>
        <x:v>0</x:v>
      </x:c>
      <x:c r="R420" t="n">
        <x:f>COUNTIFS(Grunnspill!$A:$A,Annex!I420)</x:f>
        <x:v>0</x:v>
      </x:c>
    </x:row>
    <x:row r="421">
      <x:c r="A421">
        <x:v>418</x:v>
      </x:c>
      <x:c r="B421" s="1" t="s">
        <x:v>111</x:v>
      </x:c>
      <x:c r="C421" s="1" t="s">
        <x:v>116</x:v>
      </x:c>
      <x:c r="D421" s="1" t="s">
        <x:v>124</x:v>
      </x:c>
      <x:c r="E421" s="1" t="s">
        <x:v>121</x:v>
      </x:c>
      <x:c r="F421" s="1" t="s">
        <x:v>125</x:v>
      </x:c>
      <x:c r="G421" s="1" t="s">
        <x:v>114</x:v>
      </x:c>
      <x:c r="H421" s="1" t="s">
        <x:v>112</x:v>
      </x:c>
      <x:c r="I421" s="1" t="s">
        <x:v>118</x:v>
      </x:c>
      <x:c r="J421">
        <x:f t="shared" si="8"/>
        <x:v>0</x:v>
      </x:c>
      <x:c r="K421" t="n">
        <x:f>COUNTIFS(Grunnspill!$A:$A,Annex!B421)</x:f>
        <x:v>0</x:v>
      </x:c>
      <x:c r="L421" t="n">
        <x:f>COUNTIFS(Grunnspill!$A:$A,Annex!C421)</x:f>
        <x:v>0</x:v>
      </x:c>
      <x:c r="M421" t="n">
        <x:f>COUNTIFS(Grunnspill!$A:$A,Annex!D421)</x:f>
        <x:v>0</x:v>
      </x:c>
      <x:c r="N421" t="n">
        <x:f>COUNTIFS(Grunnspill!$A:$A,Annex!E421)</x:f>
        <x:v>0</x:v>
      </x:c>
      <x:c r="O421" t="n">
        <x:f>COUNTIFS(Grunnspill!$A:$A,Annex!F421)</x:f>
        <x:v>0</x:v>
      </x:c>
      <x:c r="P421" t="n">
        <x:f>COUNTIFS(Grunnspill!$A:$A,Annex!G421)</x:f>
        <x:v>0</x:v>
      </x:c>
      <x:c r="Q421" t="n">
        <x:f>COUNTIFS(Grunnspill!$A:$A,Annex!H421)</x:f>
        <x:v>0</x:v>
      </x:c>
      <x:c r="R421" t="n">
        <x:f>COUNTIFS(Grunnspill!$A:$A,Annex!I421)</x:f>
        <x:v>0</x:v>
      </x:c>
    </x:row>
    <x:row r="422">
      <x:c r="A422">
        <x:v>419</x:v>
      </x:c>
      <x:c r="B422" s="1" t="s">
        <x:v>111</x:v>
      </x:c>
      <x:c r="C422" s="1" t="s">
        <x:v>116</x:v>
      </x:c>
      <x:c r="D422" s="1" t="s">
        <x:v>124</x:v>
      </x:c>
      <x:c r="E422" s="1" t="s">
        <x:v>121</x:v>
      </x:c>
      <x:c r="F422" s="1" t="s">
        <x:v>125</x:v>
      </x:c>
      <x:c r="G422" s="1" t="s">
        <x:v>114</x:v>
      </x:c>
      <x:c r="H422" s="1" t="s">
        <x:v>117</x:v>
      </x:c>
      <x:c r="I422" s="1" t="s">
        <x:v>113</x:v>
      </x:c>
      <x:c r="J422">
        <x:f t="shared" si="8"/>
        <x:v>0</x:v>
      </x:c>
      <x:c r="K422" t="n">
        <x:f>COUNTIFS(Grunnspill!$A:$A,Annex!B422)</x:f>
        <x:v>0</x:v>
      </x:c>
      <x:c r="L422" t="n">
        <x:f>COUNTIFS(Grunnspill!$A:$A,Annex!C422)</x:f>
        <x:v>0</x:v>
      </x:c>
      <x:c r="M422" t="n">
        <x:f>COUNTIFS(Grunnspill!$A:$A,Annex!D422)</x:f>
        <x:v>0</x:v>
      </x:c>
      <x:c r="N422" t="n">
        <x:f>COUNTIFS(Grunnspill!$A:$A,Annex!E422)</x:f>
        <x:v>0</x:v>
      </x:c>
      <x:c r="O422" t="n">
        <x:f>COUNTIFS(Grunnspill!$A:$A,Annex!F422)</x:f>
        <x:v>0</x:v>
      </x:c>
      <x:c r="P422" t="n">
        <x:f>COUNTIFS(Grunnspill!$A:$A,Annex!G422)</x:f>
        <x:v>0</x:v>
      </x:c>
      <x:c r="Q422" t="n">
        <x:f>COUNTIFS(Grunnspill!$A:$A,Annex!H422)</x:f>
        <x:v>0</x:v>
      </x:c>
      <x:c r="R422" t="n">
        <x:f>COUNTIFS(Grunnspill!$A:$A,Annex!I422)</x:f>
        <x:v>0</x:v>
      </x:c>
    </x:row>
    <x:row r="423">
      <x:c r="A423">
        <x:v>420</x:v>
      </x:c>
      <x:c r="B423" s="1" t="s">
        <x:v>111</x:v>
      </x:c>
      <x:c r="C423" s="1" t="s">
        <x:v>116</x:v>
      </x:c>
      <x:c r="D423" s="1" t="s">
        <x:v>124</x:v>
      </x:c>
      <x:c r="E423" s="1" t="s">
        <x:v>121</x:v>
      </x:c>
      <x:c r="F423" s="1" t="s">
        <x:v>125</x:v>
      </x:c>
      <x:c r="G423" s="1" t="s">
        <x:v>114</x:v>
      </x:c>
      <x:c r="H423" s="1" t="s">
        <x:v>113</x:v>
      </x:c>
      <x:c r="I423" s="1" t="s">
        <x:v>118</x:v>
      </x:c>
      <x:c r="J423">
        <x:f t="shared" si="8"/>
        <x:v>0</x:v>
      </x:c>
      <x:c r="K423" t="n">
        <x:f>COUNTIFS(Grunnspill!$A:$A,Annex!B423)</x:f>
        <x:v>0</x:v>
      </x:c>
      <x:c r="L423" t="n">
        <x:f>COUNTIFS(Grunnspill!$A:$A,Annex!C423)</x:f>
        <x:v>0</x:v>
      </x:c>
      <x:c r="M423" t="n">
        <x:f>COUNTIFS(Grunnspill!$A:$A,Annex!D423)</x:f>
        <x:v>0</x:v>
      </x:c>
      <x:c r="N423" t="n">
        <x:f>COUNTIFS(Grunnspill!$A:$A,Annex!E423)</x:f>
        <x:v>0</x:v>
      </x:c>
      <x:c r="O423" t="n">
        <x:f>COUNTIFS(Grunnspill!$A:$A,Annex!F423)</x:f>
        <x:v>0</x:v>
      </x:c>
      <x:c r="P423" t="n">
        <x:f>COUNTIFS(Grunnspill!$A:$A,Annex!G423)</x:f>
        <x:v>0</x:v>
      </x:c>
      <x:c r="Q423" t="n">
        <x:f>COUNTIFS(Grunnspill!$A:$A,Annex!H423)</x:f>
        <x:v>0</x:v>
      </x:c>
      <x:c r="R423" t="n">
        <x:f>COUNTIFS(Grunnspill!$A:$A,Annex!I423)</x:f>
        <x:v>0</x:v>
      </x:c>
    </x:row>
    <x:row r="424">
      <x:c r="A424">
        <x:v>421</x:v>
      </x:c>
      <x:c r="B424" s="1" t="s">
        <x:v>111</x:v>
      </x:c>
      <x:c r="C424" s="1" t="s">
        <x:v>116</x:v>
      </x:c>
      <x:c r="D424" s="1" t="s">
        <x:v>124</x:v>
      </x:c>
      <x:c r="E424" s="1" t="s">
        <x:v>121</x:v>
      </x:c>
      <x:c r="F424" s="1" t="s">
        <x:v>125</x:v>
      </x:c>
      <x:c r="G424" s="1" t="s">
        <x:v>114</x:v>
      </x:c>
      <x:c r="H424" s="1" t="s">
        <x:v>113</x:v>
      </x:c>
      <x:c r="I424" s="1" t="s">
        <x:v>112</x:v>
      </x:c>
      <x:c r="J424">
        <x:f t="shared" si="8"/>
        <x:v>0</x:v>
      </x:c>
      <x:c r="K424" t="n">
        <x:f>COUNTIFS(Grunnspill!$A:$A,Annex!B424)</x:f>
        <x:v>0</x:v>
      </x:c>
      <x:c r="L424" t="n">
        <x:f>COUNTIFS(Grunnspill!$A:$A,Annex!C424)</x:f>
        <x:v>0</x:v>
      </x:c>
      <x:c r="M424" t="n">
        <x:f>COUNTIFS(Grunnspill!$A:$A,Annex!D424)</x:f>
        <x:v>0</x:v>
      </x:c>
      <x:c r="N424" t="n">
        <x:f>COUNTIFS(Grunnspill!$A:$A,Annex!E424)</x:f>
        <x:v>0</x:v>
      </x:c>
      <x:c r="O424" t="n">
        <x:f>COUNTIFS(Grunnspill!$A:$A,Annex!F424)</x:f>
        <x:v>0</x:v>
      </x:c>
      <x:c r="P424" t="n">
        <x:f>COUNTIFS(Grunnspill!$A:$A,Annex!G424)</x:f>
        <x:v>0</x:v>
      </x:c>
      <x:c r="Q424" t="n">
        <x:f>COUNTIFS(Grunnspill!$A:$A,Annex!H424)</x:f>
        <x:v>0</x:v>
      </x:c>
      <x:c r="R424" t="n">
        <x:f>COUNTIFS(Grunnspill!$A:$A,Annex!I424)</x:f>
        <x:v>0</x:v>
      </x:c>
    </x:row>
    <x:row r="425">
      <x:c r="A425">
        <x:v>422</x:v>
      </x:c>
      <x:c r="B425" s="1" t="s">
        <x:v>115</x:v>
      </x:c>
      <x:c r="C425" s="1" t="s">
        <x:v>116</x:v>
      </x:c>
      <x:c r="D425" s="1" t="s">
        <x:v>124</x:v>
      </x:c>
      <x:c r="E425" s="1" t="s">
        <x:v>121</x:v>
      </x:c>
      <x:c r="F425" s="1" t="s">
        <x:v>125</x:v>
      </x:c>
      <x:c r="G425" s="1" t="s">
        <x:v>114</x:v>
      </x:c>
      <x:c r="H425" s="1" t="s">
        <x:v>117</x:v>
      </x:c>
      <x:c r="I425" s="1" t="s">
        <x:v>111</x:v>
      </x:c>
      <x:c r="J425">
        <x:f t="shared" si="8"/>
        <x:v>0</x:v>
      </x:c>
      <x:c r="K425" t="n">
        <x:f>COUNTIFS(Grunnspill!$A:$A,Annex!B425)</x:f>
        <x:v>0</x:v>
      </x:c>
      <x:c r="L425" t="n">
        <x:f>COUNTIFS(Grunnspill!$A:$A,Annex!C425)</x:f>
        <x:v>0</x:v>
      </x:c>
      <x:c r="M425" t="n">
        <x:f>COUNTIFS(Grunnspill!$A:$A,Annex!D425)</x:f>
        <x:v>0</x:v>
      </x:c>
      <x:c r="N425" t="n">
        <x:f>COUNTIFS(Grunnspill!$A:$A,Annex!E425)</x:f>
        <x:v>0</x:v>
      </x:c>
      <x:c r="O425" t="n">
        <x:f>COUNTIFS(Grunnspill!$A:$A,Annex!F425)</x:f>
        <x:v>0</x:v>
      </x:c>
      <x:c r="P425" t="n">
        <x:f>COUNTIFS(Grunnspill!$A:$A,Annex!G425)</x:f>
        <x:v>0</x:v>
      </x:c>
      <x:c r="Q425" t="n">
        <x:f>COUNTIFS(Grunnspill!$A:$A,Annex!H425)</x:f>
        <x:v>0</x:v>
      </x:c>
      <x:c r="R425" t="n">
        <x:f>COUNTIFS(Grunnspill!$A:$A,Annex!I425)</x:f>
        <x:v>0</x:v>
      </x:c>
    </x:row>
    <x:row r="426">
      <x:c r="A426">
        <x:v>423</x:v>
      </x:c>
      <x:c r="B426" s="1" t="s">
        <x:v>115</x:v>
      </x:c>
      <x:c r="C426" s="1" t="s">
        <x:v>116</x:v>
      </x:c>
      <x:c r="D426" s="1" t="s">
        <x:v>124</x:v>
      </x:c>
      <x:c r="E426" s="1" t="s">
        <x:v>121</x:v>
      </x:c>
      <x:c r="F426" s="1" t="s">
        <x:v>125</x:v>
      </x:c>
      <x:c r="G426" s="1" t="s">
        <x:v>114</x:v>
      </x:c>
      <x:c r="H426" s="1" t="s">
        <x:v>111</x:v>
      </x:c>
      <x:c r="I426" s="1" t="s">
        <x:v>118</x:v>
      </x:c>
      <x:c r="J426">
        <x:f t="shared" si="8"/>
        <x:v>0</x:v>
      </x:c>
      <x:c r="K426" t="n">
        <x:f>COUNTIFS(Grunnspill!$A:$A,Annex!B426)</x:f>
        <x:v>0</x:v>
      </x:c>
      <x:c r="L426" t="n">
        <x:f>COUNTIFS(Grunnspill!$A:$A,Annex!C426)</x:f>
        <x:v>0</x:v>
      </x:c>
      <x:c r="M426" t="n">
        <x:f>COUNTIFS(Grunnspill!$A:$A,Annex!D426)</x:f>
        <x:v>0</x:v>
      </x:c>
      <x:c r="N426" t="n">
        <x:f>COUNTIFS(Grunnspill!$A:$A,Annex!E426)</x:f>
        <x:v>0</x:v>
      </x:c>
      <x:c r="O426" t="n">
        <x:f>COUNTIFS(Grunnspill!$A:$A,Annex!F426)</x:f>
        <x:v>0</x:v>
      </x:c>
      <x:c r="P426" t="n">
        <x:f>COUNTIFS(Grunnspill!$A:$A,Annex!G426)</x:f>
        <x:v>0</x:v>
      </x:c>
      <x:c r="Q426" t="n">
        <x:f>COUNTIFS(Grunnspill!$A:$A,Annex!H426)</x:f>
        <x:v>0</x:v>
      </x:c>
      <x:c r="R426" t="n">
        <x:f>COUNTIFS(Grunnspill!$A:$A,Annex!I426)</x:f>
        <x:v>0</x:v>
      </x:c>
    </x:row>
    <x:row r="427">
      <x:c r="A427">
        <x:v>424</x:v>
      </x:c>
      <x:c r="B427" s="1" t="s">
        <x:v>115</x:v>
      </x:c>
      <x:c r="C427" s="1" t="s">
        <x:v>116</x:v>
      </x:c>
      <x:c r="D427" s="1" t="s">
        <x:v>124</x:v>
      </x:c>
      <x:c r="E427" s="1" t="s">
        <x:v>121</x:v>
      </x:c>
      <x:c r="F427" s="1" t="s">
        <x:v>125</x:v>
      </x:c>
      <x:c r="G427" s="1" t="s">
        <x:v>114</x:v>
      </x:c>
      <x:c r="H427" s="1" t="s">
        <x:v>111</x:v>
      </x:c>
      <x:c r="I427" s="1" t="s">
        <x:v>112</x:v>
      </x:c>
      <x:c r="J427">
        <x:f t="shared" si="8"/>
        <x:v>0</x:v>
      </x:c>
      <x:c r="K427" t="n">
        <x:f>COUNTIFS(Grunnspill!$A:$A,Annex!B427)</x:f>
        <x:v>0</x:v>
      </x:c>
      <x:c r="L427" t="n">
        <x:f>COUNTIFS(Grunnspill!$A:$A,Annex!C427)</x:f>
        <x:v>0</x:v>
      </x:c>
      <x:c r="M427" t="n">
        <x:f>COUNTIFS(Grunnspill!$A:$A,Annex!D427)</x:f>
        <x:v>0</x:v>
      </x:c>
      <x:c r="N427" t="n">
        <x:f>COUNTIFS(Grunnspill!$A:$A,Annex!E427)</x:f>
        <x:v>0</x:v>
      </x:c>
      <x:c r="O427" t="n">
        <x:f>COUNTIFS(Grunnspill!$A:$A,Annex!F427)</x:f>
        <x:v>0</x:v>
      </x:c>
      <x:c r="P427" t="n">
        <x:f>COUNTIFS(Grunnspill!$A:$A,Annex!G427)</x:f>
        <x:v>0</x:v>
      </x:c>
      <x:c r="Q427" t="n">
        <x:f>COUNTIFS(Grunnspill!$A:$A,Annex!H427)</x:f>
        <x:v>0</x:v>
      </x:c>
      <x:c r="R427" t="n">
        <x:f>COUNTIFS(Grunnspill!$A:$A,Annex!I427)</x:f>
        <x:v>0</x:v>
      </x:c>
    </x:row>
    <x:row r="428">
      <x:c r="A428">
        <x:v>425</x:v>
      </x:c>
      <x:c r="B428" s="1" t="s">
        <x:v>115</x:v>
      </x:c>
      <x:c r="C428" s="1" t="s">
        <x:v>116</x:v>
      </x:c>
      <x:c r="D428" s="1" t="s">
        <x:v>124</x:v>
      </x:c>
      <x:c r="E428" s="1" t="s">
        <x:v>121</x:v>
      </x:c>
      <x:c r="F428" s="1" t="s">
        <x:v>125</x:v>
      </x:c>
      <x:c r="G428" s="1" t="s">
        <x:v>114</x:v>
      </x:c>
      <x:c r="H428" s="1" t="s">
        <x:v>111</x:v>
      </x:c>
      <x:c r="I428" s="1" t="s">
        <x:v>113</x:v>
      </x:c>
      <x:c r="J428">
        <x:f t="shared" si="8"/>
        <x:v>0</x:v>
      </x:c>
      <x:c r="K428" t="n">
        <x:f>COUNTIFS(Grunnspill!$A:$A,Annex!B428)</x:f>
        <x:v>0</x:v>
      </x:c>
      <x:c r="L428" t="n">
        <x:f>COUNTIFS(Grunnspill!$A:$A,Annex!C428)</x:f>
        <x:v>0</x:v>
      </x:c>
      <x:c r="M428" t="n">
        <x:f>COUNTIFS(Grunnspill!$A:$A,Annex!D428)</x:f>
        <x:v>0</x:v>
      </x:c>
      <x:c r="N428" t="n">
        <x:f>COUNTIFS(Grunnspill!$A:$A,Annex!E428)</x:f>
        <x:v>0</x:v>
      </x:c>
      <x:c r="O428" t="n">
        <x:f>COUNTIFS(Grunnspill!$A:$A,Annex!F428)</x:f>
        <x:v>0</x:v>
      </x:c>
      <x:c r="P428" t="n">
        <x:f>COUNTIFS(Grunnspill!$A:$A,Annex!G428)</x:f>
        <x:v>0</x:v>
      </x:c>
      <x:c r="Q428" t="n">
        <x:f>COUNTIFS(Grunnspill!$A:$A,Annex!H428)</x:f>
        <x:v>0</x:v>
      </x:c>
      <x:c r="R428" t="n">
        <x:f>COUNTIFS(Grunnspill!$A:$A,Annex!I428)</x:f>
        <x:v>0</x:v>
      </x:c>
    </x:row>
    <x:row r="429">
      <x:c r="A429">
        <x:v>426</x:v>
      </x:c>
      <x:c r="B429" s="1" t="s">
        <x:v>113</x:v>
      </x:c>
      <x:c r="C429" s="1" t="s">
        <x:v>112</x:v>
      </x:c>
      <x:c r="D429" s="1" t="s">
        <x:v>124</x:v>
      </x:c>
      <x:c r="E429" s="1" t="s">
        <x:v>121</x:v>
      </x:c>
      <x:c r="F429" s="1" t="s">
        <x:v>125</x:v>
      </x:c>
      <x:c r="G429" s="1" t="s">
        <x:v>120</x:v>
      </x:c>
      <x:c r="H429" s="1" t="s">
        <x:v>117</x:v>
      </x:c>
      <x:c r="I429" s="1" t="s">
        <x:v>118</x:v>
      </x:c>
      <x:c r="J429">
        <x:f t="shared" si="8"/>
        <x:v>0</x:v>
      </x:c>
      <x:c r="K429" t="n">
        <x:f>COUNTIFS(Grunnspill!$A:$A,Annex!B429)</x:f>
        <x:v>0</x:v>
      </x:c>
      <x:c r="L429" t="n">
        <x:f>COUNTIFS(Grunnspill!$A:$A,Annex!C429)</x:f>
        <x:v>0</x:v>
      </x:c>
      <x:c r="M429" t="n">
        <x:f>COUNTIFS(Grunnspill!$A:$A,Annex!D429)</x:f>
        <x:v>0</x:v>
      </x:c>
      <x:c r="N429" t="n">
        <x:f>COUNTIFS(Grunnspill!$A:$A,Annex!E429)</x:f>
        <x:v>0</x:v>
      </x:c>
      <x:c r="O429" t="n">
        <x:f>COUNTIFS(Grunnspill!$A:$A,Annex!F429)</x:f>
        <x:v>0</x:v>
      </x:c>
      <x:c r="P429" t="n">
        <x:f>COUNTIFS(Grunnspill!$A:$A,Annex!G429)</x:f>
        <x:v>0</x:v>
      </x:c>
      <x:c r="Q429" t="n">
        <x:f>COUNTIFS(Grunnspill!$A:$A,Annex!H429)</x:f>
        <x:v>0</x:v>
      </x:c>
      <x:c r="R429" t="n">
        <x:f>COUNTIFS(Grunnspill!$A:$A,Annex!I429)</x:f>
        <x:v>0</x:v>
      </x:c>
    </x:row>
    <x:row r="430">
      <x:c r="A430">
        <x:v>427</x:v>
      </x:c>
      <x:c r="B430" s="1" t="s">
        <x:v>115</x:v>
      </x:c>
      <x:c r="C430" s="1" t="s">
        <x:v>112</x:v>
      </x:c>
      <x:c r="D430" s="1" t="s">
        <x:v>124</x:v>
      </x:c>
      <x:c r="E430" s="1" t="s">
        <x:v>121</x:v>
      </x:c>
      <x:c r="F430" s="1" t="s">
        <x:v>125</x:v>
      </x:c>
      <x:c r="G430" s="1" t="s">
        <x:v>120</x:v>
      </x:c>
      <x:c r="H430" s="1" t="s">
        <x:v>117</x:v>
      </x:c>
      <x:c r="I430" s="1" t="s">
        <x:v>118</x:v>
      </x:c>
      <x:c r="J430">
        <x:f t="shared" si="8"/>
        <x:v>0</x:v>
      </x:c>
      <x:c r="K430" t="n">
        <x:f>COUNTIFS(Grunnspill!$A:$A,Annex!B430)</x:f>
        <x:v>0</x:v>
      </x:c>
      <x:c r="L430" t="n">
        <x:f>COUNTIFS(Grunnspill!$A:$A,Annex!C430)</x:f>
        <x:v>0</x:v>
      </x:c>
      <x:c r="M430" t="n">
        <x:f>COUNTIFS(Grunnspill!$A:$A,Annex!D430)</x:f>
        <x:v>0</x:v>
      </x:c>
      <x:c r="N430" t="n">
        <x:f>COUNTIFS(Grunnspill!$A:$A,Annex!E430)</x:f>
        <x:v>0</x:v>
      </x:c>
      <x:c r="O430" t="n">
        <x:f>COUNTIFS(Grunnspill!$A:$A,Annex!F430)</x:f>
        <x:v>0</x:v>
      </x:c>
      <x:c r="P430" t="n">
        <x:f>COUNTIFS(Grunnspill!$A:$A,Annex!G430)</x:f>
        <x:v>0</x:v>
      </x:c>
      <x:c r="Q430" t="n">
        <x:f>COUNTIFS(Grunnspill!$A:$A,Annex!H430)</x:f>
        <x:v>0</x:v>
      </x:c>
      <x:c r="R430" t="n">
        <x:f>COUNTIFS(Grunnspill!$A:$A,Annex!I430)</x:f>
        <x:v>0</x:v>
      </x:c>
    </x:row>
    <x:row r="431">
      <x:c r="A431">
        <x:v>428</x:v>
      </x:c>
      <x:c r="B431" s="1" t="s">
        <x:v>115</x:v>
      </x:c>
      <x:c r="C431" s="1" t="s">
        <x:v>113</x:v>
      </x:c>
      <x:c r="D431" s="1" t="s">
        <x:v>124</x:v>
      </x:c>
      <x:c r="E431" s="1" t="s">
        <x:v>121</x:v>
      </x:c>
      <x:c r="F431" s="1" t="s">
        <x:v>125</x:v>
      </x:c>
      <x:c r="G431" s="1" t="s">
        <x:v>120</x:v>
      </x:c>
      <x:c r="H431" s="1" t="s">
        <x:v>117</x:v>
      </x:c>
      <x:c r="I431" s="1" t="s">
        <x:v>118</x:v>
      </x:c>
      <x:c r="J431">
        <x:f t="shared" si="8"/>
        <x:v>0</x:v>
      </x:c>
      <x:c r="K431" t="n">
        <x:f>COUNTIFS(Grunnspill!$A:$A,Annex!B431)</x:f>
        <x:v>0</x:v>
      </x:c>
      <x:c r="L431" t="n">
        <x:f>COUNTIFS(Grunnspill!$A:$A,Annex!C431)</x:f>
        <x:v>0</x:v>
      </x:c>
      <x:c r="M431" t="n">
        <x:f>COUNTIFS(Grunnspill!$A:$A,Annex!D431)</x:f>
        <x:v>0</x:v>
      </x:c>
      <x:c r="N431" t="n">
        <x:f>COUNTIFS(Grunnspill!$A:$A,Annex!E431)</x:f>
        <x:v>0</x:v>
      </x:c>
      <x:c r="O431" t="n">
        <x:f>COUNTIFS(Grunnspill!$A:$A,Annex!F431)</x:f>
        <x:v>0</x:v>
      </x:c>
      <x:c r="P431" t="n">
        <x:f>COUNTIFS(Grunnspill!$A:$A,Annex!G431)</x:f>
        <x:v>0</x:v>
      </x:c>
      <x:c r="Q431" t="n">
        <x:f>COUNTIFS(Grunnspill!$A:$A,Annex!H431)</x:f>
        <x:v>0</x:v>
      </x:c>
      <x:c r="R431" t="n">
        <x:f>COUNTIFS(Grunnspill!$A:$A,Annex!I431)</x:f>
        <x:v>0</x:v>
      </x:c>
    </x:row>
    <x:row r="432">
      <x:c r="A432">
        <x:v>429</x:v>
      </x:c>
      <x:c r="B432" s="1" t="s">
        <x:v>115</x:v>
      </x:c>
      <x:c r="C432" s="1" t="s">
        <x:v>112</x:v>
      </x:c>
      <x:c r="D432" s="1" t="s">
        <x:v>124</x:v>
      </x:c>
      <x:c r="E432" s="1" t="s">
        <x:v>121</x:v>
      </x:c>
      <x:c r="F432" s="1" t="s">
        <x:v>125</x:v>
      </x:c>
      <x:c r="G432" s="1" t="s">
        <x:v>120</x:v>
      </x:c>
      <x:c r="H432" s="1" t="s">
        <x:v>117</x:v>
      </x:c>
      <x:c r="I432" s="1" t="s">
        <x:v>113</x:v>
      </x:c>
      <x:c r="J432">
        <x:f t="shared" si="8"/>
        <x:v>0</x:v>
      </x:c>
      <x:c r="K432" t="n">
        <x:f>COUNTIFS(Grunnspill!$A:$A,Annex!B432)</x:f>
        <x:v>0</x:v>
      </x:c>
      <x:c r="L432" t="n">
        <x:f>COUNTIFS(Grunnspill!$A:$A,Annex!C432)</x:f>
        <x:v>0</x:v>
      </x:c>
      <x:c r="M432" t="n">
        <x:f>COUNTIFS(Grunnspill!$A:$A,Annex!D432)</x:f>
        <x:v>0</x:v>
      </x:c>
      <x:c r="N432" t="n">
        <x:f>COUNTIFS(Grunnspill!$A:$A,Annex!E432)</x:f>
        <x:v>0</x:v>
      </x:c>
      <x:c r="O432" t="n">
        <x:f>COUNTIFS(Grunnspill!$A:$A,Annex!F432)</x:f>
        <x:v>0</x:v>
      </x:c>
      <x:c r="P432" t="n">
        <x:f>COUNTIFS(Grunnspill!$A:$A,Annex!G432)</x:f>
        <x:v>0</x:v>
      </x:c>
      <x:c r="Q432" t="n">
        <x:f>COUNTIFS(Grunnspill!$A:$A,Annex!H432)</x:f>
        <x:v>0</x:v>
      </x:c>
      <x:c r="R432" t="n">
        <x:f>COUNTIFS(Grunnspill!$A:$A,Annex!I432)</x:f>
        <x:v>0</x:v>
      </x:c>
    </x:row>
    <x:row r="433">
      <x:c r="A433">
        <x:v>430</x:v>
      </x:c>
      <x:c r="B433" s="1" t="s">
        <x:v>115</x:v>
      </x:c>
      <x:c r="C433" s="1" t="s">
        <x:v>112</x:v>
      </x:c>
      <x:c r="D433" s="1" t="s">
        <x:v>124</x:v>
      </x:c>
      <x:c r="E433" s="1" t="s">
        <x:v>121</x:v>
      </x:c>
      <x:c r="F433" s="1" t="s">
        <x:v>125</x:v>
      </x:c>
      <x:c r="G433" s="1" t="s">
        <x:v>120</x:v>
      </x:c>
      <x:c r="H433" s="1" t="s">
        <x:v>113</x:v>
      </x:c>
      <x:c r="I433" s="1" t="s">
        <x:v>118</x:v>
      </x:c>
      <x:c r="J433">
        <x:f t="shared" si="8"/>
        <x:v>0</x:v>
      </x:c>
      <x:c r="K433" t="n">
        <x:f>COUNTIFS(Grunnspill!$A:$A,Annex!B433)</x:f>
        <x:v>0</x:v>
      </x:c>
      <x:c r="L433" t="n">
        <x:f>COUNTIFS(Grunnspill!$A:$A,Annex!C433)</x:f>
        <x:v>0</x:v>
      </x:c>
      <x:c r="M433" t="n">
        <x:f>COUNTIFS(Grunnspill!$A:$A,Annex!D433)</x:f>
        <x:v>0</x:v>
      </x:c>
      <x:c r="N433" t="n">
        <x:f>COUNTIFS(Grunnspill!$A:$A,Annex!E433)</x:f>
        <x:v>0</x:v>
      </x:c>
      <x:c r="O433" t="n">
        <x:f>COUNTIFS(Grunnspill!$A:$A,Annex!F433)</x:f>
        <x:v>0</x:v>
      </x:c>
      <x:c r="P433" t="n">
        <x:f>COUNTIFS(Grunnspill!$A:$A,Annex!G433)</x:f>
        <x:v>0</x:v>
      </x:c>
      <x:c r="Q433" t="n">
        <x:f>COUNTIFS(Grunnspill!$A:$A,Annex!H433)</x:f>
        <x:v>0</x:v>
      </x:c>
      <x:c r="R433" t="n">
        <x:f>COUNTIFS(Grunnspill!$A:$A,Annex!I433)</x:f>
        <x:v>0</x:v>
      </x:c>
    </x:row>
    <x:row r="434">
      <x:c r="A434">
        <x:v>431</x:v>
      </x:c>
      <x:c r="B434" s="1" t="s">
        <x:v>121</x:v>
      </x:c>
      <x:c r="C434" s="1" t="s">
        <x:v>112</x:v>
      </x:c>
      <x:c r="D434" s="1" t="s">
        <x:v>124</x:v>
      </x:c>
      <x:c r="E434" s="1" t="s">
        <x:v>120</x:v>
      </x:c>
      <x:c r="F434" s="1" t="s">
        <x:v>125</x:v>
      </x:c>
      <x:c r="G434" s="1" t="s">
        <x:v>116</x:v>
      </x:c>
      <x:c r="H434" s="1" t="s">
        <x:v>117</x:v>
      </x:c>
      <x:c r="I434" s="1" t="s">
        <x:v>118</x:v>
      </x:c>
      <x:c r="J434">
        <x:f t="shared" si="8"/>
        <x:v>0</x:v>
      </x:c>
      <x:c r="K434" t="n">
        <x:f>COUNTIFS(Grunnspill!$A:$A,Annex!B434)</x:f>
        <x:v>0</x:v>
      </x:c>
      <x:c r="L434" t="n">
        <x:f>COUNTIFS(Grunnspill!$A:$A,Annex!C434)</x:f>
        <x:v>0</x:v>
      </x:c>
      <x:c r="M434" t="n">
        <x:f>COUNTIFS(Grunnspill!$A:$A,Annex!D434)</x:f>
        <x:v>0</x:v>
      </x:c>
      <x:c r="N434" t="n">
        <x:f>COUNTIFS(Grunnspill!$A:$A,Annex!E434)</x:f>
        <x:v>0</x:v>
      </x:c>
      <x:c r="O434" t="n">
        <x:f>COUNTIFS(Grunnspill!$A:$A,Annex!F434)</x:f>
        <x:v>0</x:v>
      </x:c>
      <x:c r="P434" t="n">
        <x:f>COUNTIFS(Grunnspill!$A:$A,Annex!G434)</x:f>
        <x:v>0</x:v>
      </x:c>
      <x:c r="Q434" t="n">
        <x:f>COUNTIFS(Grunnspill!$A:$A,Annex!H434)</x:f>
        <x:v>0</x:v>
      </x:c>
      <x:c r="R434" t="n">
        <x:f>COUNTIFS(Grunnspill!$A:$A,Annex!I434)</x:f>
        <x:v>0</x:v>
      </x:c>
    </x:row>
    <x:row r="435">
      <x:c r="A435">
        <x:v>432</x:v>
      </x:c>
      <x:c r="B435" s="1" t="s">
        <x:v>113</x:v>
      </x:c>
      <x:c r="C435" s="1" t="s">
        <x:v>116</x:v>
      </x:c>
      <x:c r="D435" s="1" t="s">
        <x:v>124</x:v>
      </x:c>
      <x:c r="E435" s="1" t="s">
        <x:v>121</x:v>
      </x:c>
      <x:c r="F435" s="1" t="s">
        <x:v>125</x:v>
      </x:c>
      <x:c r="G435" s="1" t="s">
        <x:v>120</x:v>
      </x:c>
      <x:c r="H435" s="1" t="s">
        <x:v>117</x:v>
      </x:c>
      <x:c r="I435" s="1" t="s">
        <x:v>118</x:v>
      </x:c>
      <x:c r="J435">
        <x:f t="shared" si="8"/>
        <x:v>0</x:v>
      </x:c>
      <x:c r="K435" t="n">
        <x:f>COUNTIFS(Grunnspill!$A:$A,Annex!B435)</x:f>
        <x:v>0</x:v>
      </x:c>
      <x:c r="L435" t="n">
        <x:f>COUNTIFS(Grunnspill!$A:$A,Annex!C435)</x:f>
        <x:v>0</x:v>
      </x:c>
      <x:c r="M435" t="n">
        <x:f>COUNTIFS(Grunnspill!$A:$A,Annex!D435)</x:f>
        <x:v>0</x:v>
      </x:c>
      <x:c r="N435" t="n">
        <x:f>COUNTIFS(Grunnspill!$A:$A,Annex!E435)</x:f>
        <x:v>0</x:v>
      </x:c>
      <x:c r="O435" t="n">
        <x:f>COUNTIFS(Grunnspill!$A:$A,Annex!F435)</x:f>
        <x:v>0</x:v>
      </x:c>
      <x:c r="P435" t="n">
        <x:f>COUNTIFS(Grunnspill!$A:$A,Annex!G435)</x:f>
        <x:v>0</x:v>
      </x:c>
      <x:c r="Q435" t="n">
        <x:f>COUNTIFS(Grunnspill!$A:$A,Annex!H435)</x:f>
        <x:v>0</x:v>
      </x:c>
      <x:c r="R435" t="n">
        <x:f>COUNTIFS(Grunnspill!$A:$A,Annex!I435)</x:f>
        <x:v>0</x:v>
      </x:c>
    </x:row>
    <x:row r="436">
      <x:c r="A436">
        <x:v>433</x:v>
      </x:c>
      <x:c r="B436" s="1" t="s">
        <x:v>121</x:v>
      </x:c>
      <x:c r="C436" s="1" t="s">
        <x:v>112</x:v>
      </x:c>
      <x:c r="D436" s="1" t="s">
        <x:v>124</x:v>
      </x:c>
      <x:c r="E436" s="1" t="s">
        <x:v>120</x:v>
      </x:c>
      <x:c r="F436" s="1" t="s">
        <x:v>125</x:v>
      </x:c>
      <x:c r="G436" s="1" t="s">
        <x:v>116</x:v>
      </x:c>
      <x:c r="H436" s="1" t="s">
        <x:v>117</x:v>
      </x:c>
      <x:c r="I436" s="1" t="s">
        <x:v>113</x:v>
      </x:c>
      <x:c r="J436">
        <x:f t="shared" si="8"/>
        <x:v>0</x:v>
      </x:c>
      <x:c r="K436" t="n">
        <x:f>COUNTIFS(Grunnspill!$A:$A,Annex!B436)</x:f>
        <x:v>0</x:v>
      </x:c>
      <x:c r="L436" t="n">
        <x:f>COUNTIFS(Grunnspill!$A:$A,Annex!C436)</x:f>
        <x:v>0</x:v>
      </x:c>
      <x:c r="M436" t="n">
        <x:f>COUNTIFS(Grunnspill!$A:$A,Annex!D436)</x:f>
        <x:v>0</x:v>
      </x:c>
      <x:c r="N436" t="n">
        <x:f>COUNTIFS(Grunnspill!$A:$A,Annex!E436)</x:f>
        <x:v>0</x:v>
      </x:c>
      <x:c r="O436" t="n">
        <x:f>COUNTIFS(Grunnspill!$A:$A,Annex!F436)</x:f>
        <x:v>0</x:v>
      </x:c>
      <x:c r="P436" t="n">
        <x:f>COUNTIFS(Grunnspill!$A:$A,Annex!G436)</x:f>
        <x:v>0</x:v>
      </x:c>
      <x:c r="Q436" t="n">
        <x:f>COUNTIFS(Grunnspill!$A:$A,Annex!H436)</x:f>
        <x:v>0</x:v>
      </x:c>
      <x:c r="R436" t="n">
        <x:f>COUNTIFS(Grunnspill!$A:$A,Annex!I436)</x:f>
        <x:v>0</x:v>
      </x:c>
    </x:row>
    <x:row r="437">
      <x:c r="A437">
        <x:v>434</x:v>
      </x:c>
      <x:c r="B437" s="1" t="s">
        <x:v>121</x:v>
      </x:c>
      <x:c r="C437" s="1" t="s">
        <x:v>112</x:v>
      </x:c>
      <x:c r="D437" s="1" t="s">
        <x:v>124</x:v>
      </x:c>
      <x:c r="E437" s="1" t="s">
        <x:v>120</x:v>
      </x:c>
      <x:c r="F437" s="1" t="s">
        <x:v>125</x:v>
      </x:c>
      <x:c r="G437" s="1" t="s">
        <x:v>116</x:v>
      </x:c>
      <x:c r="H437" s="1" t="s">
        <x:v>113</x:v>
      </x:c>
      <x:c r="I437" s="1" t="s">
        <x:v>118</x:v>
      </x:c>
      <x:c r="J437">
        <x:f t="shared" si="8"/>
        <x:v>0</x:v>
      </x:c>
      <x:c r="K437" t="n">
        <x:f>COUNTIFS(Grunnspill!$A:$A,Annex!B437)</x:f>
        <x:v>0</x:v>
      </x:c>
      <x:c r="L437" t="n">
        <x:f>COUNTIFS(Grunnspill!$A:$A,Annex!C437)</x:f>
        <x:v>0</x:v>
      </x:c>
      <x:c r="M437" t="n">
        <x:f>COUNTIFS(Grunnspill!$A:$A,Annex!D437)</x:f>
        <x:v>0</x:v>
      </x:c>
      <x:c r="N437" t="n">
        <x:f>COUNTIFS(Grunnspill!$A:$A,Annex!E437)</x:f>
        <x:v>0</x:v>
      </x:c>
      <x:c r="O437" t="n">
        <x:f>COUNTIFS(Grunnspill!$A:$A,Annex!F437)</x:f>
        <x:v>0</x:v>
      </x:c>
      <x:c r="P437" t="n">
        <x:f>COUNTIFS(Grunnspill!$A:$A,Annex!G437)</x:f>
        <x:v>0</x:v>
      </x:c>
      <x:c r="Q437" t="n">
        <x:f>COUNTIFS(Grunnspill!$A:$A,Annex!H437)</x:f>
        <x:v>0</x:v>
      </x:c>
      <x:c r="R437" t="n">
        <x:f>COUNTIFS(Grunnspill!$A:$A,Annex!I437)</x:f>
        <x:v>0</x:v>
      </x:c>
    </x:row>
    <x:row r="438">
      <x:c r="A438">
        <x:v>435</x:v>
      </x:c>
      <x:c r="B438" s="1" t="s">
        <x:v>115</x:v>
      </x:c>
      <x:c r="C438" s="1" t="s">
        <x:v>116</x:v>
      </x:c>
      <x:c r="D438" s="1" t="s">
        <x:v>124</x:v>
      </x:c>
      <x:c r="E438" s="1" t="s">
        <x:v>121</x:v>
      </x:c>
      <x:c r="F438" s="1" t="s">
        <x:v>125</x:v>
      </x:c>
      <x:c r="G438" s="1" t="s">
        <x:v>120</x:v>
      </x:c>
      <x:c r="H438" s="1" t="s">
        <x:v>117</x:v>
      </x:c>
      <x:c r="I438" s="1" t="s">
        <x:v>118</x:v>
      </x:c>
      <x:c r="J438">
        <x:f t="shared" si="8"/>
        <x:v>0</x:v>
      </x:c>
      <x:c r="K438" t="n">
        <x:f>COUNTIFS(Grunnspill!$A:$A,Annex!B438)</x:f>
        <x:v>0</x:v>
      </x:c>
      <x:c r="L438" t="n">
        <x:f>COUNTIFS(Grunnspill!$A:$A,Annex!C438)</x:f>
        <x:v>0</x:v>
      </x:c>
      <x:c r="M438" t="n">
        <x:f>COUNTIFS(Grunnspill!$A:$A,Annex!D438)</x:f>
        <x:v>0</x:v>
      </x:c>
      <x:c r="N438" t="n">
        <x:f>COUNTIFS(Grunnspill!$A:$A,Annex!E438)</x:f>
        <x:v>0</x:v>
      </x:c>
      <x:c r="O438" t="n">
        <x:f>COUNTIFS(Grunnspill!$A:$A,Annex!F438)</x:f>
        <x:v>0</x:v>
      </x:c>
      <x:c r="P438" t="n">
        <x:f>COUNTIFS(Grunnspill!$A:$A,Annex!G438)</x:f>
        <x:v>0</x:v>
      </x:c>
      <x:c r="Q438" t="n">
        <x:f>COUNTIFS(Grunnspill!$A:$A,Annex!H438)</x:f>
        <x:v>0</x:v>
      </x:c>
      <x:c r="R438" t="n">
        <x:f>COUNTIFS(Grunnspill!$A:$A,Annex!I438)</x:f>
        <x:v>0</x:v>
      </x:c>
    </x:row>
    <x:row r="439">
      <x:c r="A439">
        <x:v>436</x:v>
      </x:c>
      <x:c r="B439" s="1" t="s">
        <x:v>115</x:v>
      </x:c>
      <x:c r="C439" s="1" t="s">
        <x:v>116</x:v>
      </x:c>
      <x:c r="D439" s="1" t="s">
        <x:v>124</x:v>
      </x:c>
      <x:c r="E439" s="1" t="s">
        <x:v>121</x:v>
      </x:c>
      <x:c r="F439" s="1" t="s">
        <x:v>125</x:v>
      </x:c>
      <x:c r="G439" s="1" t="s">
        <x:v>120</x:v>
      </x:c>
      <x:c r="H439" s="1" t="s">
        <x:v>117</x:v>
      </x:c>
      <x:c r="I439" s="1" t="s">
        <x:v>112</x:v>
      </x:c>
      <x:c r="J439">
        <x:f t="shared" si="8"/>
        <x:v>0</x:v>
      </x:c>
      <x:c r="K439" t="n">
        <x:f>COUNTIFS(Grunnspill!$A:$A,Annex!B439)</x:f>
        <x:v>0</x:v>
      </x:c>
      <x:c r="L439" t="n">
        <x:f>COUNTIFS(Grunnspill!$A:$A,Annex!C439)</x:f>
        <x:v>0</x:v>
      </x:c>
      <x:c r="M439" t="n">
        <x:f>COUNTIFS(Grunnspill!$A:$A,Annex!D439)</x:f>
        <x:v>0</x:v>
      </x:c>
      <x:c r="N439" t="n">
        <x:f>COUNTIFS(Grunnspill!$A:$A,Annex!E439)</x:f>
        <x:v>0</x:v>
      </x:c>
      <x:c r="O439" t="n">
        <x:f>COUNTIFS(Grunnspill!$A:$A,Annex!F439)</x:f>
        <x:v>0</x:v>
      </x:c>
      <x:c r="P439" t="n">
        <x:f>COUNTIFS(Grunnspill!$A:$A,Annex!G439)</x:f>
        <x:v>0</x:v>
      </x:c>
      <x:c r="Q439" t="n">
        <x:f>COUNTIFS(Grunnspill!$A:$A,Annex!H439)</x:f>
        <x:v>0</x:v>
      </x:c>
      <x:c r="R439" t="n">
        <x:f>COUNTIFS(Grunnspill!$A:$A,Annex!I439)</x:f>
        <x:v>0</x:v>
      </x:c>
    </x:row>
    <x:row r="440">
      <x:c r="A440">
        <x:v>437</x:v>
      </x:c>
      <x:c r="B440" s="1" t="s">
        <x:v>115</x:v>
      </x:c>
      <x:c r="C440" s="1" t="s">
        <x:v>116</x:v>
      </x:c>
      <x:c r="D440" s="1" t="s">
        <x:v>124</x:v>
      </x:c>
      <x:c r="E440" s="1" t="s">
        <x:v>121</x:v>
      </x:c>
      <x:c r="F440" s="1" t="s">
        <x:v>125</x:v>
      </x:c>
      <x:c r="G440" s="1" t="s">
        <x:v>120</x:v>
      </x:c>
      <x:c r="H440" s="1" t="s">
        <x:v>112</x:v>
      </x:c>
      <x:c r="I440" s="1" t="s">
        <x:v>118</x:v>
      </x:c>
      <x:c r="J440">
        <x:f t="shared" si="8"/>
        <x:v>0</x:v>
      </x:c>
      <x:c r="K440" t="n">
        <x:f>COUNTIFS(Grunnspill!$A:$A,Annex!B440)</x:f>
        <x:v>0</x:v>
      </x:c>
      <x:c r="L440" t="n">
        <x:f>COUNTIFS(Grunnspill!$A:$A,Annex!C440)</x:f>
        <x:v>0</x:v>
      </x:c>
      <x:c r="M440" t="n">
        <x:f>COUNTIFS(Grunnspill!$A:$A,Annex!D440)</x:f>
        <x:v>0</x:v>
      </x:c>
      <x:c r="N440" t="n">
        <x:f>COUNTIFS(Grunnspill!$A:$A,Annex!E440)</x:f>
        <x:v>0</x:v>
      </x:c>
      <x:c r="O440" t="n">
        <x:f>COUNTIFS(Grunnspill!$A:$A,Annex!F440)</x:f>
        <x:v>0</x:v>
      </x:c>
      <x:c r="P440" t="n">
        <x:f>COUNTIFS(Grunnspill!$A:$A,Annex!G440)</x:f>
        <x:v>0</x:v>
      </x:c>
      <x:c r="Q440" t="n">
        <x:f>COUNTIFS(Grunnspill!$A:$A,Annex!H440)</x:f>
        <x:v>0</x:v>
      </x:c>
      <x:c r="R440" t="n">
        <x:f>COUNTIFS(Grunnspill!$A:$A,Annex!I440)</x:f>
        <x:v>0</x:v>
      </x:c>
    </x:row>
    <x:row r="441">
      <x:c r="A441">
        <x:v>438</x:v>
      </x:c>
      <x:c r="B441" s="1" t="s">
        <x:v>115</x:v>
      </x:c>
      <x:c r="C441" s="1" t="s">
        <x:v>116</x:v>
      </x:c>
      <x:c r="D441" s="1" t="s">
        <x:v>124</x:v>
      </x:c>
      <x:c r="E441" s="1" t="s">
        <x:v>121</x:v>
      </x:c>
      <x:c r="F441" s="1" t="s">
        <x:v>125</x:v>
      </x:c>
      <x:c r="G441" s="1" t="s">
        <x:v>120</x:v>
      </x:c>
      <x:c r="H441" s="1" t="s">
        <x:v>117</x:v>
      </x:c>
      <x:c r="I441" s="1" t="s">
        <x:v>113</x:v>
      </x:c>
      <x:c r="J441">
        <x:f t="shared" si="8"/>
        <x:v>0</x:v>
      </x:c>
      <x:c r="K441" t="n">
        <x:f>COUNTIFS(Grunnspill!$A:$A,Annex!B441)</x:f>
        <x:v>0</x:v>
      </x:c>
      <x:c r="L441" t="n">
        <x:f>COUNTIFS(Grunnspill!$A:$A,Annex!C441)</x:f>
        <x:v>0</x:v>
      </x:c>
      <x:c r="M441" t="n">
        <x:f>COUNTIFS(Grunnspill!$A:$A,Annex!D441)</x:f>
        <x:v>0</x:v>
      </x:c>
      <x:c r="N441" t="n">
        <x:f>COUNTIFS(Grunnspill!$A:$A,Annex!E441)</x:f>
        <x:v>0</x:v>
      </x:c>
      <x:c r="O441" t="n">
        <x:f>COUNTIFS(Grunnspill!$A:$A,Annex!F441)</x:f>
        <x:v>0</x:v>
      </x:c>
      <x:c r="P441" t="n">
        <x:f>COUNTIFS(Grunnspill!$A:$A,Annex!G441)</x:f>
        <x:v>0</x:v>
      </x:c>
      <x:c r="Q441" t="n">
        <x:f>COUNTIFS(Grunnspill!$A:$A,Annex!H441)</x:f>
        <x:v>0</x:v>
      </x:c>
      <x:c r="R441" t="n">
        <x:f>COUNTIFS(Grunnspill!$A:$A,Annex!I441)</x:f>
        <x:v>0</x:v>
      </x:c>
    </x:row>
    <x:row r="442">
      <x:c r="A442">
        <x:v>439</x:v>
      </x:c>
      <x:c r="B442" s="1" t="s">
        <x:v>115</x:v>
      </x:c>
      <x:c r="C442" s="1" t="s">
        <x:v>116</x:v>
      </x:c>
      <x:c r="D442" s="1" t="s">
        <x:v>124</x:v>
      </x:c>
      <x:c r="E442" s="1" t="s">
        <x:v>121</x:v>
      </x:c>
      <x:c r="F442" s="1" t="s">
        <x:v>125</x:v>
      </x:c>
      <x:c r="G442" s="1" t="s">
        <x:v>120</x:v>
      </x:c>
      <x:c r="H442" s="1" t="s">
        <x:v>113</x:v>
      </x:c>
      <x:c r="I442" s="1" t="s">
        <x:v>118</x:v>
      </x:c>
      <x:c r="J442">
        <x:f t="shared" si="8"/>
        <x:v>0</x:v>
      </x:c>
      <x:c r="K442" t="n">
        <x:f>COUNTIFS(Grunnspill!$A:$A,Annex!B442)</x:f>
        <x:v>0</x:v>
      </x:c>
      <x:c r="L442" t="n">
        <x:f>COUNTIFS(Grunnspill!$A:$A,Annex!C442)</x:f>
        <x:v>0</x:v>
      </x:c>
      <x:c r="M442" t="n">
        <x:f>COUNTIFS(Grunnspill!$A:$A,Annex!D442)</x:f>
        <x:v>0</x:v>
      </x:c>
      <x:c r="N442" t="n">
        <x:f>COUNTIFS(Grunnspill!$A:$A,Annex!E442)</x:f>
        <x:v>0</x:v>
      </x:c>
      <x:c r="O442" t="n">
        <x:f>COUNTIFS(Grunnspill!$A:$A,Annex!F442)</x:f>
        <x:v>0</x:v>
      </x:c>
      <x:c r="P442" t="n">
        <x:f>COUNTIFS(Grunnspill!$A:$A,Annex!G442)</x:f>
        <x:v>0</x:v>
      </x:c>
      <x:c r="Q442" t="n">
        <x:f>COUNTIFS(Grunnspill!$A:$A,Annex!H442)</x:f>
        <x:v>0</x:v>
      </x:c>
      <x:c r="R442" t="n">
        <x:f>COUNTIFS(Grunnspill!$A:$A,Annex!I442)</x:f>
        <x:v>0</x:v>
      </x:c>
    </x:row>
    <x:row r="443">
      <x:c r="A443">
        <x:v>440</x:v>
      </x:c>
      <x:c r="B443" s="1" t="s">
        <x:v>115</x:v>
      </x:c>
      <x:c r="C443" s="1" t="s">
        <x:v>116</x:v>
      </x:c>
      <x:c r="D443" s="1" t="s">
        <x:v>124</x:v>
      </x:c>
      <x:c r="E443" s="1" t="s">
        <x:v>121</x:v>
      </x:c>
      <x:c r="F443" s="1" t="s">
        <x:v>125</x:v>
      </x:c>
      <x:c r="G443" s="1" t="s">
        <x:v>120</x:v>
      </x:c>
      <x:c r="H443" s="1" t="s">
        <x:v>113</x:v>
      </x:c>
      <x:c r="I443" s="1" t="s">
        <x:v>112</x:v>
      </x:c>
      <x:c r="J443">
        <x:f t="shared" si="8"/>
        <x:v>0</x:v>
      </x:c>
      <x:c r="K443" t="n">
        <x:f>COUNTIFS(Grunnspill!$A:$A,Annex!B443)</x:f>
        <x:v>0</x:v>
      </x:c>
      <x:c r="L443" t="n">
        <x:f>COUNTIFS(Grunnspill!$A:$A,Annex!C443)</x:f>
        <x:v>0</x:v>
      </x:c>
      <x:c r="M443" t="n">
        <x:f>COUNTIFS(Grunnspill!$A:$A,Annex!D443)</x:f>
        <x:v>0</x:v>
      </x:c>
      <x:c r="N443" t="n">
        <x:f>COUNTIFS(Grunnspill!$A:$A,Annex!E443)</x:f>
        <x:v>0</x:v>
      </x:c>
      <x:c r="O443" t="n">
        <x:f>COUNTIFS(Grunnspill!$A:$A,Annex!F443)</x:f>
        <x:v>0</x:v>
      </x:c>
      <x:c r="P443" t="n">
        <x:f>COUNTIFS(Grunnspill!$A:$A,Annex!G443)</x:f>
        <x:v>0</x:v>
      </x:c>
      <x:c r="Q443" t="n">
        <x:f>COUNTIFS(Grunnspill!$A:$A,Annex!H443)</x:f>
        <x:v>0</x:v>
      </x:c>
      <x:c r="R443" t="n">
        <x:f>COUNTIFS(Grunnspill!$A:$A,Annex!I443)</x:f>
        <x:v>0</x:v>
      </x:c>
    </x:row>
    <x:row r="444">
      <x:c r="A444">
        <x:v>441</x:v>
      </x:c>
      <x:c r="B444" s="1" t="s">
        <x:v>121</x:v>
      </x:c>
      <x:c r="C444" s="1" t="s">
        <x:v>112</x:v>
      </x:c>
      <x:c r="D444" s="1" t="s">
        <x:v>124</x:v>
      </x:c>
      <x:c r="E444" s="1" t="s">
        <x:v>120</x:v>
      </x:c>
      <x:c r="F444" s="1" t="s">
        <x:v>125</x:v>
      </x:c>
      <x:c r="G444" s="1" t="s">
        <x:v>114</x:v>
      </x:c>
      <x:c r="H444" s="1" t="s">
        <x:v>117</x:v>
      </x:c>
      <x:c r="I444" s="1" t="s">
        <x:v>118</x:v>
      </x:c>
      <x:c r="J444">
        <x:f t="shared" si="8"/>
        <x:v>0</x:v>
      </x:c>
      <x:c r="K444" t="n">
        <x:f>COUNTIFS(Grunnspill!$A:$A,Annex!B444)</x:f>
        <x:v>0</x:v>
      </x:c>
      <x:c r="L444" t="n">
        <x:f>COUNTIFS(Grunnspill!$A:$A,Annex!C444)</x:f>
        <x:v>0</x:v>
      </x:c>
      <x:c r="M444" t="n">
        <x:f>COUNTIFS(Grunnspill!$A:$A,Annex!D444)</x:f>
        <x:v>0</x:v>
      </x:c>
      <x:c r="N444" t="n">
        <x:f>COUNTIFS(Grunnspill!$A:$A,Annex!E444)</x:f>
        <x:v>0</x:v>
      </x:c>
      <x:c r="O444" t="n">
        <x:f>COUNTIFS(Grunnspill!$A:$A,Annex!F444)</x:f>
        <x:v>0</x:v>
      </x:c>
      <x:c r="P444" t="n">
        <x:f>COUNTIFS(Grunnspill!$A:$A,Annex!G444)</x:f>
        <x:v>0</x:v>
      </x:c>
      <x:c r="Q444" t="n">
        <x:f>COUNTIFS(Grunnspill!$A:$A,Annex!H444)</x:f>
        <x:v>0</x:v>
      </x:c>
      <x:c r="R444" t="n">
        <x:f>COUNTIFS(Grunnspill!$A:$A,Annex!I444)</x:f>
        <x:v>0</x:v>
      </x:c>
    </x:row>
    <x:row r="445">
      <x:c r="A445">
        <x:v>442</x:v>
      </x:c>
      <x:c r="B445" s="1" t="s">
        <x:v>121</x:v>
      </x:c>
      <x:c r="C445" s="1" t="s">
        <x:v>113</x:v>
      </x:c>
      <x:c r="D445" s="1" t="s">
        <x:v>124</x:v>
      </x:c>
      <x:c r="E445" s="1" t="s">
        <x:v>120</x:v>
      </x:c>
      <x:c r="F445" s="1" t="s">
        <x:v>125</x:v>
      </x:c>
      <x:c r="G445" s="1" t="s">
        <x:v>114</x:v>
      </x:c>
      <x:c r="H445" s="1" t="s">
        <x:v>117</x:v>
      </x:c>
      <x:c r="I445" s="1" t="s">
        <x:v>118</x:v>
      </x:c>
      <x:c r="J445">
        <x:f t="shared" si="8"/>
        <x:v>0</x:v>
      </x:c>
      <x:c r="K445" t="n">
        <x:f>COUNTIFS(Grunnspill!$A:$A,Annex!B445)</x:f>
        <x:v>0</x:v>
      </x:c>
      <x:c r="L445" t="n">
        <x:f>COUNTIFS(Grunnspill!$A:$A,Annex!C445)</x:f>
        <x:v>0</x:v>
      </x:c>
      <x:c r="M445" t="n">
        <x:f>COUNTIFS(Grunnspill!$A:$A,Annex!D445)</x:f>
        <x:v>0</x:v>
      </x:c>
      <x:c r="N445" t="n">
        <x:f>COUNTIFS(Grunnspill!$A:$A,Annex!E445)</x:f>
        <x:v>0</x:v>
      </x:c>
      <x:c r="O445" t="n">
        <x:f>COUNTIFS(Grunnspill!$A:$A,Annex!F445)</x:f>
        <x:v>0</x:v>
      </x:c>
      <x:c r="P445" t="n">
        <x:f>COUNTIFS(Grunnspill!$A:$A,Annex!G445)</x:f>
        <x:v>0</x:v>
      </x:c>
      <x:c r="Q445" t="n">
        <x:f>COUNTIFS(Grunnspill!$A:$A,Annex!H445)</x:f>
        <x:v>0</x:v>
      </x:c>
      <x:c r="R445" t="n">
        <x:f>COUNTIFS(Grunnspill!$A:$A,Annex!I445)</x:f>
        <x:v>0</x:v>
      </x:c>
    </x:row>
    <x:row r="446">
      <x:c r="A446">
        <x:v>443</x:v>
      </x:c>
      <x:c r="B446" s="1" t="s">
        <x:v>121</x:v>
      </x:c>
      <x:c r="C446" s="1" t="s">
        <x:v>112</x:v>
      </x:c>
      <x:c r="D446" s="1" t="s">
        <x:v>124</x:v>
      </x:c>
      <x:c r="E446" s="1" t="s">
        <x:v>120</x:v>
      </x:c>
      <x:c r="F446" s="1" t="s">
        <x:v>125</x:v>
      </x:c>
      <x:c r="G446" s="1" t="s">
        <x:v>114</x:v>
      </x:c>
      <x:c r="H446" s="1" t="s">
        <x:v>117</x:v>
      </x:c>
      <x:c r="I446" s="1" t="s">
        <x:v>113</x:v>
      </x:c>
      <x:c r="J446">
        <x:f t="shared" si="8"/>
        <x:v>0</x:v>
      </x:c>
      <x:c r="K446" t="n">
        <x:f>COUNTIFS(Grunnspill!$A:$A,Annex!B446)</x:f>
        <x:v>0</x:v>
      </x:c>
      <x:c r="L446" t="n">
        <x:f>COUNTIFS(Grunnspill!$A:$A,Annex!C446)</x:f>
        <x:v>0</x:v>
      </x:c>
      <x:c r="M446" t="n">
        <x:f>COUNTIFS(Grunnspill!$A:$A,Annex!D446)</x:f>
        <x:v>0</x:v>
      </x:c>
      <x:c r="N446" t="n">
        <x:f>COUNTIFS(Grunnspill!$A:$A,Annex!E446)</x:f>
        <x:v>0</x:v>
      </x:c>
      <x:c r="O446" t="n">
        <x:f>COUNTIFS(Grunnspill!$A:$A,Annex!F446)</x:f>
        <x:v>0</x:v>
      </x:c>
      <x:c r="P446" t="n">
        <x:f>COUNTIFS(Grunnspill!$A:$A,Annex!G446)</x:f>
        <x:v>0</x:v>
      </x:c>
      <x:c r="Q446" t="n">
        <x:f>COUNTIFS(Grunnspill!$A:$A,Annex!H446)</x:f>
        <x:v>0</x:v>
      </x:c>
      <x:c r="R446" t="n">
        <x:f>COUNTIFS(Grunnspill!$A:$A,Annex!I446)</x:f>
        <x:v>0</x:v>
      </x:c>
    </x:row>
    <x:row r="447">
      <x:c r="A447">
        <x:v>444</x:v>
      </x:c>
      <x:c r="B447" s="1" t="s">
        <x:v>121</x:v>
      </x:c>
      <x:c r="C447" s="1" t="s">
        <x:v>112</x:v>
      </x:c>
      <x:c r="D447" s="1" t="s">
        <x:v>124</x:v>
      </x:c>
      <x:c r="E447" s="1" t="s">
        <x:v>120</x:v>
      </x:c>
      <x:c r="F447" s="1" t="s">
        <x:v>125</x:v>
      </x:c>
      <x:c r="G447" s="1" t="s">
        <x:v>114</x:v>
      </x:c>
      <x:c r="H447" s="1" t="s">
        <x:v>113</x:v>
      </x:c>
      <x:c r="I447" s="1" t="s">
        <x:v>118</x:v>
      </x:c>
      <x:c r="J447">
        <x:f t="shared" si="8"/>
        <x:v>0</x:v>
      </x:c>
      <x:c r="K447" t="n">
        <x:f>COUNTIFS(Grunnspill!$A:$A,Annex!B447)</x:f>
        <x:v>0</x:v>
      </x:c>
      <x:c r="L447" t="n">
        <x:f>COUNTIFS(Grunnspill!$A:$A,Annex!C447)</x:f>
        <x:v>0</x:v>
      </x:c>
      <x:c r="M447" t="n">
        <x:f>COUNTIFS(Grunnspill!$A:$A,Annex!D447)</x:f>
        <x:v>0</x:v>
      </x:c>
      <x:c r="N447" t="n">
        <x:f>COUNTIFS(Grunnspill!$A:$A,Annex!E447)</x:f>
        <x:v>0</x:v>
      </x:c>
      <x:c r="O447" t="n">
        <x:f>COUNTIFS(Grunnspill!$A:$A,Annex!F447)</x:f>
        <x:v>0</x:v>
      </x:c>
      <x:c r="P447" t="n">
        <x:f>COUNTIFS(Grunnspill!$A:$A,Annex!G447)</x:f>
        <x:v>0</x:v>
      </x:c>
      <x:c r="Q447" t="n">
        <x:f>COUNTIFS(Grunnspill!$A:$A,Annex!H447)</x:f>
        <x:v>0</x:v>
      </x:c>
      <x:c r="R447" t="n">
        <x:f>COUNTIFS(Grunnspill!$A:$A,Annex!I447)</x:f>
        <x:v>0</x:v>
      </x:c>
    </x:row>
    <x:row r="448">
      <x:c r="A448">
        <x:v>445</x:v>
      </x:c>
      <x:c r="B448" s="1" t="s">
        <x:v>115</x:v>
      </x:c>
      <x:c r="C448" s="1" t="s">
        <x:v>114</x:v>
      </x:c>
      <x:c r="D448" s="1" t="s">
        <x:v>124</x:v>
      </x:c>
      <x:c r="E448" s="1" t="s">
        <x:v>121</x:v>
      </x:c>
      <x:c r="F448" s="1" t="s">
        <x:v>125</x:v>
      </x:c>
      <x:c r="G448" s="1" t="s">
        <x:v>120</x:v>
      </x:c>
      <x:c r="H448" s="1" t="s">
        <x:v>117</x:v>
      </x:c>
      <x:c r="I448" s="1" t="s">
        <x:v>118</x:v>
      </x:c>
      <x:c r="J448">
        <x:f t="shared" si="8"/>
        <x:v>0</x:v>
      </x:c>
      <x:c r="K448" t="n">
        <x:f>COUNTIFS(Grunnspill!$A:$A,Annex!B448)</x:f>
        <x:v>0</x:v>
      </x:c>
      <x:c r="L448" t="n">
        <x:f>COUNTIFS(Grunnspill!$A:$A,Annex!C448)</x:f>
        <x:v>0</x:v>
      </x:c>
      <x:c r="M448" t="n">
        <x:f>COUNTIFS(Grunnspill!$A:$A,Annex!D448)</x:f>
        <x:v>0</x:v>
      </x:c>
      <x:c r="N448" t="n">
        <x:f>COUNTIFS(Grunnspill!$A:$A,Annex!E448)</x:f>
        <x:v>0</x:v>
      </x:c>
      <x:c r="O448" t="n">
        <x:f>COUNTIFS(Grunnspill!$A:$A,Annex!F448)</x:f>
        <x:v>0</x:v>
      </x:c>
      <x:c r="P448" t="n">
        <x:f>COUNTIFS(Grunnspill!$A:$A,Annex!G448)</x:f>
        <x:v>0</x:v>
      </x:c>
      <x:c r="Q448" t="n">
        <x:f>COUNTIFS(Grunnspill!$A:$A,Annex!H448)</x:f>
        <x:v>0</x:v>
      </x:c>
      <x:c r="R448" t="n">
        <x:f>COUNTIFS(Grunnspill!$A:$A,Annex!I448)</x:f>
        <x:v>0</x:v>
      </x:c>
    </x:row>
    <x:row r="449">
      <x:c r="A449">
        <x:v>446</x:v>
      </x:c>
      <x:c r="B449" s="1" t="s">
        <x:v>121</x:v>
      </x:c>
      <x:c r="C449" s="1" t="s">
        <x:v>112</x:v>
      </x:c>
      <x:c r="D449" s="1" t="s">
        <x:v>124</x:v>
      </x:c>
      <x:c r="E449" s="1" t="s">
        <x:v>120</x:v>
      </x:c>
      <x:c r="F449" s="1" t="s">
        <x:v>125</x:v>
      </x:c>
      <x:c r="G449" s="1" t="s">
        <x:v>114</x:v>
      </x:c>
      <x:c r="H449" s="1" t="s">
        <x:v>117</x:v>
      </x:c>
      <x:c r="I449" s="1" t="s">
        <x:v>115</x:v>
      </x:c>
      <x:c r="J449">
        <x:f t="shared" si="8"/>
        <x:v>0</x:v>
      </x:c>
      <x:c r="K449" t="n">
        <x:f>COUNTIFS(Grunnspill!$A:$A,Annex!B449)</x:f>
        <x:v>0</x:v>
      </x:c>
      <x:c r="L449" t="n">
        <x:f>COUNTIFS(Grunnspill!$A:$A,Annex!C449)</x:f>
        <x:v>0</x:v>
      </x:c>
      <x:c r="M449" t="n">
        <x:f>COUNTIFS(Grunnspill!$A:$A,Annex!D449)</x:f>
        <x:v>0</x:v>
      </x:c>
      <x:c r="N449" t="n">
        <x:f>COUNTIFS(Grunnspill!$A:$A,Annex!E449)</x:f>
        <x:v>0</x:v>
      </x:c>
      <x:c r="O449" t="n">
        <x:f>COUNTIFS(Grunnspill!$A:$A,Annex!F449)</x:f>
        <x:v>0</x:v>
      </x:c>
      <x:c r="P449" t="n">
        <x:f>COUNTIFS(Grunnspill!$A:$A,Annex!G449)</x:f>
        <x:v>0</x:v>
      </x:c>
      <x:c r="Q449" t="n">
        <x:f>COUNTIFS(Grunnspill!$A:$A,Annex!H449)</x:f>
        <x:v>0</x:v>
      </x:c>
      <x:c r="R449" t="n">
        <x:f>COUNTIFS(Grunnspill!$A:$A,Annex!I449)</x:f>
        <x:v>0</x:v>
      </x:c>
    </x:row>
    <x:row r="450">
      <x:c r="A450">
        <x:v>447</x:v>
      </x:c>
      <x:c r="B450" s="1" t="s">
        <x:v>115</x:v>
      </x:c>
      <x:c r="C450" s="1" t="s">
        <x:v>112</x:v>
      </x:c>
      <x:c r="D450" s="1" t="s">
        <x:v>124</x:v>
      </x:c>
      <x:c r="E450" s="1" t="s">
        <x:v>121</x:v>
      </x:c>
      <x:c r="F450" s="1" t="s">
        <x:v>125</x:v>
      </x:c>
      <x:c r="G450" s="1" t="s">
        <x:v>114</x:v>
      </x:c>
      <x:c r="H450" s="1" t="s">
        <x:v>120</x:v>
      </x:c>
      <x:c r="I450" s="1" t="s">
        <x:v>118</x:v>
      </x:c>
      <x:c r="J450">
        <x:f t="shared" si="8"/>
        <x:v>0</x:v>
      </x:c>
      <x:c r="K450" t="n">
        <x:f>COUNTIFS(Grunnspill!$A:$A,Annex!B450)</x:f>
        <x:v>0</x:v>
      </x:c>
      <x:c r="L450" t="n">
        <x:f>COUNTIFS(Grunnspill!$A:$A,Annex!C450)</x:f>
        <x:v>0</x:v>
      </x:c>
      <x:c r="M450" t="n">
        <x:f>COUNTIFS(Grunnspill!$A:$A,Annex!D450)</x:f>
        <x:v>0</x:v>
      </x:c>
      <x:c r="N450" t="n">
        <x:f>COUNTIFS(Grunnspill!$A:$A,Annex!E450)</x:f>
        <x:v>0</x:v>
      </x:c>
      <x:c r="O450" t="n">
        <x:f>COUNTIFS(Grunnspill!$A:$A,Annex!F450)</x:f>
        <x:v>0</x:v>
      </x:c>
      <x:c r="P450" t="n">
        <x:f>COUNTIFS(Grunnspill!$A:$A,Annex!G450)</x:f>
        <x:v>0</x:v>
      </x:c>
      <x:c r="Q450" t="n">
        <x:f>COUNTIFS(Grunnspill!$A:$A,Annex!H450)</x:f>
        <x:v>0</x:v>
      </x:c>
      <x:c r="R450" t="n">
        <x:f>COUNTIFS(Grunnspill!$A:$A,Annex!I450)</x:f>
        <x:v>0</x:v>
      </x:c>
    </x:row>
    <x:row r="451">
      <x:c r="A451">
        <x:v>448</x:v>
      </x:c>
      <x:c r="B451" s="1" t="s">
        <x:v>115</x:v>
      </x:c>
      <x:c r="C451" s="1" t="s">
        <x:v>114</x:v>
      </x:c>
      <x:c r="D451" s="1" t="s">
        <x:v>124</x:v>
      </x:c>
      <x:c r="E451" s="1" t="s">
        <x:v>121</x:v>
      </x:c>
      <x:c r="F451" s="1" t="s">
        <x:v>125</x:v>
      </x:c>
      <x:c r="G451" s="1" t="s">
        <x:v>120</x:v>
      </x:c>
      <x:c r="H451" s="1" t="s">
        <x:v>117</x:v>
      </x:c>
      <x:c r="I451" s="1" t="s">
        <x:v>113</x:v>
      </x:c>
      <x:c r="J451">
        <x:f t="shared" si="8"/>
        <x:v>0</x:v>
      </x:c>
      <x:c r="K451" t="n">
        <x:f>COUNTIFS(Grunnspill!$A:$A,Annex!B451)</x:f>
        <x:v>0</x:v>
      </x:c>
      <x:c r="L451" t="n">
        <x:f>COUNTIFS(Grunnspill!$A:$A,Annex!C451)</x:f>
        <x:v>0</x:v>
      </x:c>
      <x:c r="M451" t="n">
        <x:f>COUNTIFS(Grunnspill!$A:$A,Annex!D451)</x:f>
        <x:v>0</x:v>
      </x:c>
      <x:c r="N451" t="n">
        <x:f>COUNTIFS(Grunnspill!$A:$A,Annex!E451)</x:f>
        <x:v>0</x:v>
      </x:c>
      <x:c r="O451" t="n">
        <x:f>COUNTIFS(Grunnspill!$A:$A,Annex!F451)</x:f>
        <x:v>0</x:v>
      </x:c>
      <x:c r="P451" t="n">
        <x:f>COUNTIFS(Grunnspill!$A:$A,Annex!G451)</x:f>
        <x:v>0</x:v>
      </x:c>
      <x:c r="Q451" t="n">
        <x:f>COUNTIFS(Grunnspill!$A:$A,Annex!H451)</x:f>
        <x:v>0</x:v>
      </x:c>
      <x:c r="R451" t="n">
        <x:f>COUNTIFS(Grunnspill!$A:$A,Annex!I451)</x:f>
        <x:v>0</x:v>
      </x:c>
    </x:row>
    <x:row r="452">
      <x:c r="A452">
        <x:v>449</x:v>
      </x:c>
      <x:c r="B452" s="1" t="s">
        <x:v>115</x:v>
      </x:c>
      <x:c r="C452" s="1" t="s">
        <x:v>114</x:v>
      </x:c>
      <x:c r="D452" s="1" t="s">
        <x:v>124</x:v>
      </x:c>
      <x:c r="E452" s="1" t="s">
        <x:v>121</x:v>
      </x:c>
      <x:c r="F452" s="1" t="s">
        <x:v>125</x:v>
      </x:c>
      <x:c r="G452" s="1" t="s">
        <x:v>120</x:v>
      </x:c>
      <x:c r="H452" s="1" t="s">
        <x:v>113</x:v>
      </x:c>
      <x:c r="I452" s="1" t="s">
        <x:v>118</x:v>
      </x:c>
      <x:c r="J452">
        <x:f t="shared" si="8"/>
        <x:v>0</x:v>
      </x:c>
      <x:c r="K452" t="n">
        <x:f>COUNTIFS(Grunnspill!$A:$A,Annex!B452)</x:f>
        <x:v>0</x:v>
      </x:c>
      <x:c r="L452" t="n">
        <x:f>COUNTIFS(Grunnspill!$A:$A,Annex!C452)</x:f>
        <x:v>0</x:v>
      </x:c>
      <x:c r="M452" t="n">
        <x:f>COUNTIFS(Grunnspill!$A:$A,Annex!D452)</x:f>
        <x:v>0</x:v>
      </x:c>
      <x:c r="N452" t="n">
        <x:f>COUNTIFS(Grunnspill!$A:$A,Annex!E452)</x:f>
        <x:v>0</x:v>
      </x:c>
      <x:c r="O452" t="n">
        <x:f>COUNTIFS(Grunnspill!$A:$A,Annex!F452)</x:f>
        <x:v>0</x:v>
      </x:c>
      <x:c r="P452" t="n">
        <x:f>COUNTIFS(Grunnspill!$A:$A,Annex!G452)</x:f>
        <x:v>0</x:v>
      </x:c>
      <x:c r="Q452" t="n">
        <x:f>COUNTIFS(Grunnspill!$A:$A,Annex!H452)</x:f>
        <x:v>0</x:v>
      </x:c>
      <x:c r="R452" t="n">
        <x:f>COUNTIFS(Grunnspill!$A:$A,Annex!I452)</x:f>
        <x:v>0</x:v>
      </x:c>
    </x:row>
    <x:row r="453">
      <x:c r="A453">
        <x:v>450</x:v>
      </x:c>
      <x:c r="B453" s="1" t="s">
        <x:v>115</x:v>
      </x:c>
      <x:c r="C453" s="1" t="s">
        <x:v>112</x:v>
      </x:c>
      <x:c r="D453" s="1" t="s">
        <x:v>124</x:v>
      </x:c>
      <x:c r="E453" s="1" t="s">
        <x:v>121</x:v>
      </x:c>
      <x:c r="F453" s="1" t="s">
        <x:v>125</x:v>
      </x:c>
      <x:c r="G453" s="1" t="s">
        <x:v>114</x:v>
      </x:c>
      <x:c r="H453" s="1" t="s">
        <x:v>120</x:v>
      </x:c>
      <x:c r="I453" s="1" t="s">
        <x:v>113</x:v>
      </x:c>
      <x:c r="J453">
        <x:f t="shared" si="8"/>
        <x:v>0</x:v>
      </x:c>
      <x:c r="K453" t="n">
        <x:f>COUNTIFS(Grunnspill!$A:$A,Annex!B453)</x:f>
        <x:v>0</x:v>
      </x:c>
      <x:c r="L453" t="n">
        <x:f>COUNTIFS(Grunnspill!$A:$A,Annex!C453)</x:f>
        <x:v>0</x:v>
      </x:c>
      <x:c r="M453" t="n">
        <x:f>COUNTIFS(Grunnspill!$A:$A,Annex!D453)</x:f>
        <x:v>0</x:v>
      </x:c>
      <x:c r="N453" t="n">
        <x:f>COUNTIFS(Grunnspill!$A:$A,Annex!E453)</x:f>
        <x:v>0</x:v>
      </x:c>
      <x:c r="O453" t="n">
        <x:f>COUNTIFS(Grunnspill!$A:$A,Annex!F453)</x:f>
        <x:v>0</x:v>
      </x:c>
      <x:c r="P453" t="n">
        <x:f>COUNTIFS(Grunnspill!$A:$A,Annex!G453)</x:f>
        <x:v>0</x:v>
      </x:c>
      <x:c r="Q453" t="n">
        <x:f>COUNTIFS(Grunnspill!$A:$A,Annex!H453)</x:f>
        <x:v>0</x:v>
      </x:c>
      <x:c r="R453" t="n">
        <x:f>COUNTIFS(Grunnspill!$A:$A,Annex!I453)</x:f>
        <x:v>0</x:v>
      </x:c>
    </x:row>
    <x:row r="454">
      <x:c r="A454">
        <x:v>451</x:v>
      </x:c>
      <x:c r="B454" s="1" t="s">
        <x:v>121</x:v>
      </x:c>
      <x:c r="C454" s="1" t="s">
        <x:v>116</x:v>
      </x:c>
      <x:c r="D454" s="1" t="s">
        <x:v>124</x:v>
      </x:c>
      <x:c r="E454" s="1" t="s">
        <x:v>120</x:v>
      </x:c>
      <x:c r="F454" s="1" t="s">
        <x:v>125</x:v>
      </x:c>
      <x:c r="G454" s="1" t="s">
        <x:v>114</x:v>
      </x:c>
      <x:c r="H454" s="1" t="s">
        <x:v>117</x:v>
      </x:c>
      <x:c r="I454" s="1" t="s">
        <x:v>118</x:v>
      </x:c>
      <x:c r="J454">
        <x:f t="shared" si="8"/>
        <x:v>0</x:v>
      </x:c>
      <x:c r="K454" t="n">
        <x:f>COUNTIFS(Grunnspill!$A:$A,Annex!B454)</x:f>
        <x:v>0</x:v>
      </x:c>
      <x:c r="L454" t="n">
        <x:f>COUNTIFS(Grunnspill!$A:$A,Annex!C454)</x:f>
        <x:v>0</x:v>
      </x:c>
      <x:c r="M454" t="n">
        <x:f>COUNTIFS(Grunnspill!$A:$A,Annex!D454)</x:f>
        <x:v>0</x:v>
      </x:c>
      <x:c r="N454" t="n">
        <x:f>COUNTIFS(Grunnspill!$A:$A,Annex!E454)</x:f>
        <x:v>0</x:v>
      </x:c>
      <x:c r="O454" t="n">
        <x:f>COUNTIFS(Grunnspill!$A:$A,Annex!F454)</x:f>
        <x:v>0</x:v>
      </x:c>
      <x:c r="P454" t="n">
        <x:f>COUNTIFS(Grunnspill!$A:$A,Annex!G454)</x:f>
        <x:v>0</x:v>
      </x:c>
      <x:c r="Q454" t="n">
        <x:f>COUNTIFS(Grunnspill!$A:$A,Annex!H454)</x:f>
        <x:v>0</x:v>
      </x:c>
      <x:c r="R454" t="n">
        <x:f>COUNTIFS(Grunnspill!$A:$A,Annex!I454)</x:f>
        <x:v>0</x:v>
      </x:c>
    </x:row>
    <x:row r="455">
      <x:c r="A455">
        <x:v>452</x:v>
      </x:c>
      <x:c r="B455" s="1" t="s">
        <x:v>121</x:v>
      </x:c>
      <x:c r="C455" s="1" t="s">
        <x:v>116</x:v>
      </x:c>
      <x:c r="D455" s="1" t="s">
        <x:v>124</x:v>
      </x:c>
      <x:c r="E455" s="1" t="s">
        <x:v>120</x:v>
      </x:c>
      <x:c r="F455" s="1" t="s">
        <x:v>125</x:v>
      </x:c>
      <x:c r="G455" s="1" t="s">
        <x:v>114</x:v>
      </x:c>
      <x:c r="H455" s="1" t="s">
        <x:v>117</x:v>
      </x:c>
      <x:c r="I455" s="1" t="s">
        <x:v>112</x:v>
      </x:c>
      <x:c r="J455">
        <x:f t="shared" si="8"/>
        <x:v>0</x:v>
      </x:c>
      <x:c r="K455" t="n">
        <x:f>COUNTIFS(Grunnspill!$A:$A,Annex!B455)</x:f>
        <x:v>0</x:v>
      </x:c>
      <x:c r="L455" t="n">
        <x:f>COUNTIFS(Grunnspill!$A:$A,Annex!C455)</x:f>
        <x:v>0</x:v>
      </x:c>
      <x:c r="M455" t="n">
        <x:f>COUNTIFS(Grunnspill!$A:$A,Annex!D455)</x:f>
        <x:v>0</x:v>
      </x:c>
      <x:c r="N455" t="n">
        <x:f>COUNTIFS(Grunnspill!$A:$A,Annex!E455)</x:f>
        <x:v>0</x:v>
      </x:c>
      <x:c r="O455" t="n">
        <x:f>COUNTIFS(Grunnspill!$A:$A,Annex!F455)</x:f>
        <x:v>0</x:v>
      </x:c>
      <x:c r="P455" t="n">
        <x:f>COUNTIFS(Grunnspill!$A:$A,Annex!G455)</x:f>
        <x:v>0</x:v>
      </x:c>
      <x:c r="Q455" t="n">
        <x:f>COUNTIFS(Grunnspill!$A:$A,Annex!H455)</x:f>
        <x:v>0</x:v>
      </x:c>
      <x:c r="R455" t="n">
        <x:f>COUNTIFS(Grunnspill!$A:$A,Annex!I455)</x:f>
        <x:v>0</x:v>
      </x:c>
    </x:row>
    <x:row r="456">
      <x:c r="A456">
        <x:v>453</x:v>
      </x:c>
      <x:c r="B456" s="1" t="s">
        <x:v>121</x:v>
      </x:c>
      <x:c r="C456" s="1" t="s">
        <x:v>116</x:v>
      </x:c>
      <x:c r="D456" s="1" t="s">
        <x:v>124</x:v>
      </x:c>
      <x:c r="E456" s="1" t="s">
        <x:v>120</x:v>
      </x:c>
      <x:c r="F456" s="1" t="s">
        <x:v>125</x:v>
      </x:c>
      <x:c r="G456" s="1" t="s">
        <x:v>114</x:v>
      </x:c>
      <x:c r="H456" s="1" t="s">
        <x:v>112</x:v>
      </x:c>
      <x:c r="I456" s="1" t="s">
        <x:v>118</x:v>
      </x:c>
      <x:c r="J456">
        <x:f t="shared" si="8"/>
        <x:v>0</x:v>
      </x:c>
      <x:c r="K456" t="n">
        <x:f>COUNTIFS(Grunnspill!$A:$A,Annex!B456)</x:f>
        <x:v>0</x:v>
      </x:c>
      <x:c r="L456" t="n">
        <x:f>COUNTIFS(Grunnspill!$A:$A,Annex!C456)</x:f>
        <x:v>0</x:v>
      </x:c>
      <x:c r="M456" t="n">
        <x:f>COUNTIFS(Grunnspill!$A:$A,Annex!D456)</x:f>
        <x:v>0</x:v>
      </x:c>
      <x:c r="N456" t="n">
        <x:f>COUNTIFS(Grunnspill!$A:$A,Annex!E456)</x:f>
        <x:v>0</x:v>
      </x:c>
      <x:c r="O456" t="n">
        <x:f>COUNTIFS(Grunnspill!$A:$A,Annex!F456)</x:f>
        <x:v>0</x:v>
      </x:c>
      <x:c r="P456" t="n">
        <x:f>COUNTIFS(Grunnspill!$A:$A,Annex!G456)</x:f>
        <x:v>0</x:v>
      </x:c>
      <x:c r="Q456" t="n">
        <x:f>COUNTIFS(Grunnspill!$A:$A,Annex!H456)</x:f>
        <x:v>0</x:v>
      </x:c>
      <x:c r="R456" t="n">
        <x:f>COUNTIFS(Grunnspill!$A:$A,Annex!I456)</x:f>
        <x:v>0</x:v>
      </x:c>
    </x:row>
    <x:row r="457">
      <x:c r="A457">
        <x:v>454</x:v>
      </x:c>
      <x:c r="B457" s="1" t="s">
        <x:v>121</x:v>
      </x:c>
      <x:c r="C457" s="1" t="s">
        <x:v>116</x:v>
      </x:c>
      <x:c r="D457" s="1" t="s">
        <x:v>124</x:v>
      </x:c>
      <x:c r="E457" s="1" t="s">
        <x:v>120</x:v>
      </x:c>
      <x:c r="F457" s="1" t="s">
        <x:v>125</x:v>
      </x:c>
      <x:c r="G457" s="1" t="s">
        <x:v>114</x:v>
      </x:c>
      <x:c r="H457" s="1" t="s">
        <x:v>117</x:v>
      </x:c>
      <x:c r="I457" s="1" t="s">
        <x:v>113</x:v>
      </x:c>
      <x:c r="J457">
        <x:f t="shared" si="8"/>
        <x:v>0</x:v>
      </x:c>
      <x:c r="K457" t="n">
        <x:f>COUNTIFS(Grunnspill!$A:$A,Annex!B457)</x:f>
        <x:v>0</x:v>
      </x:c>
      <x:c r="L457" t="n">
        <x:f>COUNTIFS(Grunnspill!$A:$A,Annex!C457)</x:f>
        <x:v>0</x:v>
      </x:c>
      <x:c r="M457" t="n">
        <x:f>COUNTIFS(Grunnspill!$A:$A,Annex!D457)</x:f>
        <x:v>0</x:v>
      </x:c>
      <x:c r="N457" t="n">
        <x:f>COUNTIFS(Grunnspill!$A:$A,Annex!E457)</x:f>
        <x:v>0</x:v>
      </x:c>
      <x:c r="O457" t="n">
        <x:f>COUNTIFS(Grunnspill!$A:$A,Annex!F457)</x:f>
        <x:v>0</x:v>
      </x:c>
      <x:c r="P457" t="n">
        <x:f>COUNTIFS(Grunnspill!$A:$A,Annex!G457)</x:f>
        <x:v>0</x:v>
      </x:c>
      <x:c r="Q457" t="n">
        <x:f>COUNTIFS(Grunnspill!$A:$A,Annex!H457)</x:f>
        <x:v>0</x:v>
      </x:c>
      <x:c r="R457" t="n">
        <x:f>COUNTIFS(Grunnspill!$A:$A,Annex!I457)</x:f>
        <x:v>0</x:v>
      </x:c>
    </x:row>
    <x:row r="458">
      <x:c r="A458">
        <x:v>455</x:v>
      </x:c>
      <x:c r="B458" s="1" t="s">
        <x:v>121</x:v>
      </x:c>
      <x:c r="C458" s="1" t="s">
        <x:v>116</x:v>
      </x:c>
      <x:c r="D458" s="1" t="s">
        <x:v>124</x:v>
      </x:c>
      <x:c r="E458" s="1" t="s">
        <x:v>120</x:v>
      </x:c>
      <x:c r="F458" s="1" t="s">
        <x:v>125</x:v>
      </x:c>
      <x:c r="G458" s="1" t="s">
        <x:v>114</x:v>
      </x:c>
      <x:c r="H458" s="1" t="s">
        <x:v>113</x:v>
      </x:c>
      <x:c r="I458" s="1" t="s">
        <x:v>118</x:v>
      </x:c>
      <x:c r="J458">
        <x:f t="shared" si="8"/>
        <x:v>0</x:v>
      </x:c>
      <x:c r="K458" t="n">
        <x:f>COUNTIFS(Grunnspill!$A:$A,Annex!B458)</x:f>
        <x:v>0</x:v>
      </x:c>
      <x:c r="L458" t="n">
        <x:f>COUNTIFS(Grunnspill!$A:$A,Annex!C458)</x:f>
        <x:v>0</x:v>
      </x:c>
      <x:c r="M458" t="n">
        <x:f>COUNTIFS(Grunnspill!$A:$A,Annex!D458)</x:f>
        <x:v>0</x:v>
      </x:c>
      <x:c r="N458" t="n">
        <x:f>COUNTIFS(Grunnspill!$A:$A,Annex!E458)</x:f>
        <x:v>0</x:v>
      </x:c>
      <x:c r="O458" t="n">
        <x:f>COUNTIFS(Grunnspill!$A:$A,Annex!F458)</x:f>
        <x:v>0</x:v>
      </x:c>
      <x:c r="P458" t="n">
        <x:f>COUNTIFS(Grunnspill!$A:$A,Annex!G458)</x:f>
        <x:v>0</x:v>
      </x:c>
      <x:c r="Q458" t="n">
        <x:f>COUNTIFS(Grunnspill!$A:$A,Annex!H458)</x:f>
        <x:v>0</x:v>
      </x:c>
      <x:c r="R458" t="n">
        <x:f>COUNTIFS(Grunnspill!$A:$A,Annex!I458)</x:f>
        <x:v>0</x:v>
      </x:c>
    </x:row>
    <x:row r="459">
      <x:c r="A459">
        <x:v>456</x:v>
      </x:c>
      <x:c r="B459" s="1" t="s">
        <x:v>121</x:v>
      </x:c>
      <x:c r="C459" s="1" t="s">
        <x:v>116</x:v>
      </x:c>
      <x:c r="D459" s="1" t="s">
        <x:v>124</x:v>
      </x:c>
      <x:c r="E459" s="1" t="s">
        <x:v>120</x:v>
      </x:c>
      <x:c r="F459" s="1" t="s">
        <x:v>125</x:v>
      </x:c>
      <x:c r="G459" s="1" t="s">
        <x:v>114</x:v>
      </x:c>
      <x:c r="H459" s="1" t="s">
        <x:v>113</x:v>
      </x:c>
      <x:c r="I459" s="1" t="s">
        <x:v>112</x:v>
      </x:c>
      <x:c r="J459">
        <x:f t="shared" si="8"/>
        <x:v>0</x:v>
      </x:c>
      <x:c r="K459" t="n">
        <x:f>COUNTIFS(Grunnspill!$A:$A,Annex!B459)</x:f>
        <x:v>0</x:v>
      </x:c>
      <x:c r="L459" t="n">
        <x:f>COUNTIFS(Grunnspill!$A:$A,Annex!C459)</x:f>
        <x:v>0</x:v>
      </x:c>
      <x:c r="M459" t="n">
        <x:f>COUNTIFS(Grunnspill!$A:$A,Annex!D459)</x:f>
        <x:v>0</x:v>
      </x:c>
      <x:c r="N459" t="n">
        <x:f>COUNTIFS(Grunnspill!$A:$A,Annex!E459)</x:f>
        <x:v>0</x:v>
      </x:c>
      <x:c r="O459" t="n">
        <x:f>COUNTIFS(Grunnspill!$A:$A,Annex!F459)</x:f>
        <x:v>0</x:v>
      </x:c>
      <x:c r="P459" t="n">
        <x:f>COUNTIFS(Grunnspill!$A:$A,Annex!G459)</x:f>
        <x:v>0</x:v>
      </x:c>
      <x:c r="Q459" t="n">
        <x:f>COUNTIFS(Grunnspill!$A:$A,Annex!H459)</x:f>
        <x:v>0</x:v>
      </x:c>
      <x:c r="R459" t="n">
        <x:f>COUNTIFS(Grunnspill!$A:$A,Annex!I459)</x:f>
        <x:v>0</x:v>
      </x:c>
    </x:row>
    <x:row r="460">
      <x:c r="A460">
        <x:v>457</x:v>
      </x:c>
      <x:c r="B460" s="1" t="s">
        <x:v>121</x:v>
      </x:c>
      <x:c r="C460" s="1" t="s">
        <x:v>116</x:v>
      </x:c>
      <x:c r="D460" s="1" t="s">
        <x:v>124</x:v>
      </x:c>
      <x:c r="E460" s="1" t="s">
        <x:v>120</x:v>
      </x:c>
      <x:c r="F460" s="1" t="s">
        <x:v>125</x:v>
      </x:c>
      <x:c r="G460" s="1" t="s">
        <x:v>114</x:v>
      </x:c>
      <x:c r="H460" s="1" t="s">
        <x:v>117</x:v>
      </x:c>
      <x:c r="I460" s="1" t="s">
        <x:v>115</x:v>
      </x:c>
      <x:c r="J460">
        <x:f t="shared" si="8"/>
        <x:v>0</x:v>
      </x:c>
      <x:c r="K460" t="n">
        <x:f>COUNTIFS(Grunnspill!$A:$A,Annex!B460)</x:f>
        <x:v>0</x:v>
      </x:c>
      <x:c r="L460" t="n">
        <x:f>COUNTIFS(Grunnspill!$A:$A,Annex!C460)</x:f>
        <x:v>0</x:v>
      </x:c>
      <x:c r="M460" t="n">
        <x:f>COUNTIFS(Grunnspill!$A:$A,Annex!D460)</x:f>
        <x:v>0</x:v>
      </x:c>
      <x:c r="N460" t="n">
        <x:f>COUNTIFS(Grunnspill!$A:$A,Annex!E460)</x:f>
        <x:v>0</x:v>
      </x:c>
      <x:c r="O460" t="n">
        <x:f>COUNTIFS(Grunnspill!$A:$A,Annex!F460)</x:f>
        <x:v>0</x:v>
      </x:c>
      <x:c r="P460" t="n">
        <x:f>COUNTIFS(Grunnspill!$A:$A,Annex!G460)</x:f>
        <x:v>0</x:v>
      </x:c>
      <x:c r="Q460" t="n">
        <x:f>COUNTIFS(Grunnspill!$A:$A,Annex!H460)</x:f>
        <x:v>0</x:v>
      </x:c>
      <x:c r="R460" t="n">
        <x:f>COUNTIFS(Grunnspill!$A:$A,Annex!I460)</x:f>
        <x:v>0</x:v>
      </x:c>
    </x:row>
    <x:row r="461">
      <x:c r="A461">
        <x:v>458</x:v>
      </x:c>
      <x:c r="B461" s="1" t="s">
        <x:v>115</x:v>
      </x:c>
      <x:c r="C461" s="1" t="s">
        <x:v>116</x:v>
      </x:c>
      <x:c r="D461" s="1" t="s">
        <x:v>124</x:v>
      </x:c>
      <x:c r="E461" s="1" t="s">
        <x:v>121</x:v>
      </x:c>
      <x:c r="F461" s="1" t="s">
        <x:v>125</x:v>
      </x:c>
      <x:c r="G461" s="1" t="s">
        <x:v>114</x:v>
      </x:c>
      <x:c r="H461" s="1" t="s">
        <x:v>120</x:v>
      </x:c>
      <x:c r="I461" s="1" t="s">
        <x:v>118</x:v>
      </x:c>
      <x:c r="J461">
        <x:f t="shared" si="8"/>
        <x:v>0</x:v>
      </x:c>
      <x:c r="K461" t="n">
        <x:f>COUNTIFS(Grunnspill!$A:$A,Annex!B461)</x:f>
        <x:v>0</x:v>
      </x:c>
      <x:c r="L461" t="n">
        <x:f>COUNTIFS(Grunnspill!$A:$A,Annex!C461)</x:f>
        <x:v>0</x:v>
      </x:c>
      <x:c r="M461" t="n">
        <x:f>COUNTIFS(Grunnspill!$A:$A,Annex!D461)</x:f>
        <x:v>0</x:v>
      </x:c>
      <x:c r="N461" t="n">
        <x:f>COUNTIFS(Grunnspill!$A:$A,Annex!E461)</x:f>
        <x:v>0</x:v>
      </x:c>
      <x:c r="O461" t="n">
        <x:f>COUNTIFS(Grunnspill!$A:$A,Annex!F461)</x:f>
        <x:v>0</x:v>
      </x:c>
      <x:c r="P461" t="n">
        <x:f>COUNTIFS(Grunnspill!$A:$A,Annex!G461)</x:f>
        <x:v>0</x:v>
      </x:c>
      <x:c r="Q461" t="n">
        <x:f>COUNTIFS(Grunnspill!$A:$A,Annex!H461)</x:f>
        <x:v>0</x:v>
      </x:c>
      <x:c r="R461" t="n">
        <x:f>COUNTIFS(Grunnspill!$A:$A,Annex!I461)</x:f>
        <x:v>0</x:v>
      </x:c>
    </x:row>
    <x:row r="462">
      <x:c r="A462">
        <x:v>459</x:v>
      </x:c>
      <x:c r="B462" s="1" t="s">
        <x:v>115</x:v>
      </x:c>
      <x:c r="C462" s="1" t="s">
        <x:v>116</x:v>
      </x:c>
      <x:c r="D462" s="1" t="s">
        <x:v>124</x:v>
      </x:c>
      <x:c r="E462" s="1" t="s">
        <x:v>121</x:v>
      </x:c>
      <x:c r="F462" s="1" t="s">
        <x:v>125</x:v>
      </x:c>
      <x:c r="G462" s="1" t="s">
        <x:v>114</x:v>
      </x:c>
      <x:c r="H462" s="1" t="s">
        <x:v>120</x:v>
      </x:c>
      <x:c r="I462" s="1" t="s">
        <x:v>112</x:v>
      </x:c>
      <x:c r="J462">
        <x:f t="shared" si="8"/>
        <x:v>0</x:v>
      </x:c>
      <x:c r="K462" t="n">
        <x:f>COUNTIFS(Grunnspill!$A:$A,Annex!B462)</x:f>
        <x:v>0</x:v>
      </x:c>
      <x:c r="L462" t="n">
        <x:f>COUNTIFS(Grunnspill!$A:$A,Annex!C462)</x:f>
        <x:v>0</x:v>
      </x:c>
      <x:c r="M462" t="n">
        <x:f>COUNTIFS(Grunnspill!$A:$A,Annex!D462)</x:f>
        <x:v>0</x:v>
      </x:c>
      <x:c r="N462" t="n">
        <x:f>COUNTIFS(Grunnspill!$A:$A,Annex!E462)</x:f>
        <x:v>0</x:v>
      </x:c>
      <x:c r="O462" t="n">
        <x:f>COUNTIFS(Grunnspill!$A:$A,Annex!F462)</x:f>
        <x:v>0</x:v>
      </x:c>
      <x:c r="P462" t="n">
        <x:f>COUNTIFS(Grunnspill!$A:$A,Annex!G462)</x:f>
        <x:v>0</x:v>
      </x:c>
      <x:c r="Q462" t="n">
        <x:f>COUNTIFS(Grunnspill!$A:$A,Annex!H462)</x:f>
        <x:v>0</x:v>
      </x:c>
      <x:c r="R462" t="n">
        <x:f>COUNTIFS(Grunnspill!$A:$A,Annex!I462)</x:f>
        <x:v>0</x:v>
      </x:c>
    </x:row>
    <x:row r="463">
      <x:c r="A463">
        <x:v>460</x:v>
      </x:c>
      <x:c r="B463" s="1" t="s">
        <x:v>115</x:v>
      </x:c>
      <x:c r="C463" s="1" t="s">
        <x:v>116</x:v>
      </x:c>
      <x:c r="D463" s="1" t="s">
        <x:v>124</x:v>
      </x:c>
      <x:c r="E463" s="1" t="s">
        <x:v>121</x:v>
      </x:c>
      <x:c r="F463" s="1" t="s">
        <x:v>125</x:v>
      </x:c>
      <x:c r="G463" s="1" t="s">
        <x:v>114</x:v>
      </x:c>
      <x:c r="H463" s="1" t="s">
        <x:v>120</x:v>
      </x:c>
      <x:c r="I463" s="1" t="s">
        <x:v>113</x:v>
      </x:c>
      <x:c r="J463">
        <x:f t="shared" si="8"/>
        <x:v>0</x:v>
      </x:c>
      <x:c r="K463" t="n">
        <x:f>COUNTIFS(Grunnspill!$A:$A,Annex!B463)</x:f>
        <x:v>0</x:v>
      </x:c>
      <x:c r="L463" t="n">
        <x:f>COUNTIFS(Grunnspill!$A:$A,Annex!C463)</x:f>
        <x:v>0</x:v>
      </x:c>
      <x:c r="M463" t="n">
        <x:f>COUNTIFS(Grunnspill!$A:$A,Annex!D463)</x:f>
        <x:v>0</x:v>
      </x:c>
      <x:c r="N463" t="n">
        <x:f>COUNTIFS(Grunnspill!$A:$A,Annex!E463)</x:f>
        <x:v>0</x:v>
      </x:c>
      <x:c r="O463" t="n">
        <x:f>COUNTIFS(Grunnspill!$A:$A,Annex!F463)</x:f>
        <x:v>0</x:v>
      </x:c>
      <x:c r="P463" t="n">
        <x:f>COUNTIFS(Grunnspill!$A:$A,Annex!G463)</x:f>
        <x:v>0</x:v>
      </x:c>
      <x:c r="Q463" t="n">
        <x:f>COUNTIFS(Grunnspill!$A:$A,Annex!H463)</x:f>
        <x:v>0</x:v>
      </x:c>
      <x:c r="R463" t="n">
        <x:f>COUNTIFS(Grunnspill!$A:$A,Annex!I463)</x:f>
        <x:v>0</x:v>
      </x:c>
    </x:row>
    <x:row r="464">
      <x:c r="A464">
        <x:v>461</x:v>
      </x:c>
      <x:c r="B464" s="1" t="s">
        <x:v>111</x:v>
      </x:c>
      <x:c r="C464" s="1" t="s">
        <x:v>112</x:v>
      </x:c>
      <x:c r="D464" s="1" t="s">
        <x:v>124</x:v>
      </x:c>
      <x:c r="E464" s="1" t="s">
        <x:v>121</x:v>
      </x:c>
      <x:c r="F464" s="1" t="s">
        <x:v>125</x:v>
      </x:c>
      <x:c r="G464" s="1" t="s">
        <x:v>120</x:v>
      </x:c>
      <x:c r="H464" s="1" t="s">
        <x:v>117</x:v>
      </x:c>
      <x:c r="I464" s="1" t="s">
        <x:v>118</x:v>
      </x:c>
      <x:c r="J464">
        <x:f t="shared" si="8"/>
        <x:v>0</x:v>
      </x:c>
      <x:c r="K464" t="n">
        <x:f>COUNTIFS(Grunnspill!$A:$A,Annex!B464)</x:f>
        <x:v>0</x:v>
      </x:c>
      <x:c r="L464" t="n">
        <x:f>COUNTIFS(Grunnspill!$A:$A,Annex!C464)</x:f>
        <x:v>0</x:v>
      </x:c>
      <x:c r="M464" t="n">
        <x:f>COUNTIFS(Grunnspill!$A:$A,Annex!D464)</x:f>
        <x:v>0</x:v>
      </x:c>
      <x:c r="N464" t="n">
        <x:f>COUNTIFS(Grunnspill!$A:$A,Annex!E464)</x:f>
        <x:v>0</x:v>
      </x:c>
      <x:c r="O464" t="n">
        <x:f>COUNTIFS(Grunnspill!$A:$A,Annex!F464)</x:f>
        <x:v>0</x:v>
      </x:c>
      <x:c r="P464" t="n">
        <x:f>COUNTIFS(Grunnspill!$A:$A,Annex!G464)</x:f>
        <x:v>0</x:v>
      </x:c>
      <x:c r="Q464" t="n">
        <x:f>COUNTIFS(Grunnspill!$A:$A,Annex!H464)</x:f>
        <x:v>0</x:v>
      </x:c>
      <x:c r="R464" t="n">
        <x:f>COUNTIFS(Grunnspill!$A:$A,Annex!I464)</x:f>
        <x:v>0</x:v>
      </x:c>
    </x:row>
    <x:row r="465">
      <x:c r="A465">
        <x:v>462</x:v>
      </x:c>
      <x:c r="B465" s="1" t="s">
        <x:v>111</x:v>
      </x:c>
      <x:c r="C465" s="1" t="s">
        <x:v>113</x:v>
      </x:c>
      <x:c r="D465" s="1" t="s">
        <x:v>124</x:v>
      </x:c>
      <x:c r="E465" s="1" t="s">
        <x:v>121</x:v>
      </x:c>
      <x:c r="F465" s="1" t="s">
        <x:v>125</x:v>
      </x:c>
      <x:c r="G465" s="1" t="s">
        <x:v>120</x:v>
      </x:c>
      <x:c r="H465" s="1" t="s">
        <x:v>117</x:v>
      </x:c>
      <x:c r="I465" s="1" t="s">
        <x:v>118</x:v>
      </x:c>
      <x:c r="J465">
        <x:f t="shared" si="8"/>
        <x:v>0</x:v>
      </x:c>
      <x:c r="K465" t="n">
        <x:f>COUNTIFS(Grunnspill!$A:$A,Annex!B465)</x:f>
        <x:v>0</x:v>
      </x:c>
      <x:c r="L465" t="n">
        <x:f>COUNTIFS(Grunnspill!$A:$A,Annex!C465)</x:f>
        <x:v>0</x:v>
      </x:c>
      <x:c r="M465" t="n">
        <x:f>COUNTIFS(Grunnspill!$A:$A,Annex!D465)</x:f>
        <x:v>0</x:v>
      </x:c>
      <x:c r="N465" t="n">
        <x:f>COUNTIFS(Grunnspill!$A:$A,Annex!E465)</x:f>
        <x:v>0</x:v>
      </x:c>
      <x:c r="O465" t="n">
        <x:f>COUNTIFS(Grunnspill!$A:$A,Annex!F465)</x:f>
        <x:v>0</x:v>
      </x:c>
      <x:c r="P465" t="n">
        <x:f>COUNTIFS(Grunnspill!$A:$A,Annex!G465)</x:f>
        <x:v>0</x:v>
      </x:c>
      <x:c r="Q465" t="n">
        <x:f>COUNTIFS(Grunnspill!$A:$A,Annex!H465)</x:f>
        <x:v>0</x:v>
      </x:c>
      <x:c r="R465" t="n">
        <x:f>COUNTIFS(Grunnspill!$A:$A,Annex!I465)</x:f>
        <x:v>0</x:v>
      </x:c>
    </x:row>
    <x:row r="466">
      <x:c r="A466">
        <x:v>463</x:v>
      </x:c>
      <x:c r="B466" s="1" t="s">
        <x:v>111</x:v>
      </x:c>
      <x:c r="C466" s="1" t="s">
        <x:v>112</x:v>
      </x:c>
      <x:c r="D466" s="1" t="s">
        <x:v>124</x:v>
      </x:c>
      <x:c r="E466" s="1" t="s">
        <x:v>121</x:v>
      </x:c>
      <x:c r="F466" s="1" t="s">
        <x:v>125</x:v>
      </x:c>
      <x:c r="G466" s="1" t="s">
        <x:v>120</x:v>
      </x:c>
      <x:c r="H466" s="1" t="s">
        <x:v>117</x:v>
      </x:c>
      <x:c r="I466" s="1" t="s">
        <x:v>113</x:v>
      </x:c>
      <x:c r="J466">
        <x:f t="shared" si="8"/>
        <x:v>0</x:v>
      </x:c>
      <x:c r="K466" t="n">
        <x:f>COUNTIFS(Grunnspill!$A:$A,Annex!B466)</x:f>
        <x:v>0</x:v>
      </x:c>
      <x:c r="L466" t="n">
        <x:f>COUNTIFS(Grunnspill!$A:$A,Annex!C466)</x:f>
        <x:v>0</x:v>
      </x:c>
      <x:c r="M466" t="n">
        <x:f>COUNTIFS(Grunnspill!$A:$A,Annex!D466)</x:f>
        <x:v>0</x:v>
      </x:c>
      <x:c r="N466" t="n">
        <x:f>COUNTIFS(Grunnspill!$A:$A,Annex!E466)</x:f>
        <x:v>0</x:v>
      </x:c>
      <x:c r="O466" t="n">
        <x:f>COUNTIFS(Grunnspill!$A:$A,Annex!F466)</x:f>
        <x:v>0</x:v>
      </x:c>
      <x:c r="P466" t="n">
        <x:f>COUNTIFS(Grunnspill!$A:$A,Annex!G466)</x:f>
        <x:v>0</x:v>
      </x:c>
      <x:c r="Q466" t="n">
        <x:f>COUNTIFS(Grunnspill!$A:$A,Annex!H466)</x:f>
        <x:v>0</x:v>
      </x:c>
      <x:c r="R466" t="n">
        <x:f>COUNTIFS(Grunnspill!$A:$A,Annex!I466)</x:f>
        <x:v>0</x:v>
      </x:c>
    </x:row>
    <x:row r="467">
      <x:c r="A467">
        <x:v>464</x:v>
      </x:c>
      <x:c r="B467" s="1" t="s">
        <x:v>111</x:v>
      </x:c>
      <x:c r="C467" s="1" t="s">
        <x:v>112</x:v>
      </x:c>
      <x:c r="D467" s="1" t="s">
        <x:v>124</x:v>
      </x:c>
      <x:c r="E467" s="1" t="s">
        <x:v>121</x:v>
      </x:c>
      <x:c r="F467" s="1" t="s">
        <x:v>125</x:v>
      </x:c>
      <x:c r="G467" s="1" t="s">
        <x:v>120</x:v>
      </x:c>
      <x:c r="H467" s="1" t="s">
        <x:v>113</x:v>
      </x:c>
      <x:c r="I467" s="1" t="s">
        <x:v>118</x:v>
      </x:c>
      <x:c r="J467">
        <x:f t="shared" si="8"/>
        <x:v>0</x:v>
      </x:c>
      <x:c r="K467" t="n">
        <x:f>COUNTIFS(Grunnspill!$A:$A,Annex!B467)</x:f>
        <x:v>0</x:v>
      </x:c>
      <x:c r="L467" t="n">
        <x:f>COUNTIFS(Grunnspill!$A:$A,Annex!C467)</x:f>
        <x:v>0</x:v>
      </x:c>
      <x:c r="M467" t="n">
        <x:f>COUNTIFS(Grunnspill!$A:$A,Annex!D467)</x:f>
        <x:v>0</x:v>
      </x:c>
      <x:c r="N467" t="n">
        <x:f>COUNTIFS(Grunnspill!$A:$A,Annex!E467)</x:f>
        <x:v>0</x:v>
      </x:c>
      <x:c r="O467" t="n">
        <x:f>COUNTIFS(Grunnspill!$A:$A,Annex!F467)</x:f>
        <x:v>0</x:v>
      </x:c>
      <x:c r="P467" t="n">
        <x:f>COUNTIFS(Grunnspill!$A:$A,Annex!G467)</x:f>
        <x:v>0</x:v>
      </x:c>
      <x:c r="Q467" t="n">
        <x:f>COUNTIFS(Grunnspill!$A:$A,Annex!H467)</x:f>
        <x:v>0</x:v>
      </x:c>
      <x:c r="R467" t="n">
        <x:f>COUNTIFS(Grunnspill!$A:$A,Annex!I467)</x:f>
        <x:v>0</x:v>
      </x:c>
    </x:row>
    <x:row r="468">
      <x:c r="A468">
        <x:v>465</x:v>
      </x:c>
      <x:c r="B468" s="1" t="s">
        <x:v>115</x:v>
      </x:c>
      <x:c r="C468" s="1" t="s">
        <x:v>111</x:v>
      </x:c>
      <x:c r="D468" s="1" t="s">
        <x:v>124</x:v>
      </x:c>
      <x:c r="E468" s="1" t="s">
        <x:v>121</x:v>
      </x:c>
      <x:c r="F468" s="1" t="s">
        <x:v>125</x:v>
      </x:c>
      <x:c r="G468" s="1" t="s">
        <x:v>120</x:v>
      </x:c>
      <x:c r="H468" s="1" t="s">
        <x:v>117</x:v>
      </x:c>
      <x:c r="I468" s="1" t="s">
        <x:v>118</x:v>
      </x:c>
      <x:c r="J468">
        <x:f t="shared" si="8"/>
        <x:v>0</x:v>
      </x:c>
      <x:c r="K468" t="n">
        <x:f>COUNTIFS(Grunnspill!$A:$A,Annex!B468)</x:f>
        <x:v>0</x:v>
      </x:c>
      <x:c r="L468" t="n">
        <x:f>COUNTIFS(Grunnspill!$A:$A,Annex!C468)</x:f>
        <x:v>0</x:v>
      </x:c>
      <x:c r="M468" t="n">
        <x:f>COUNTIFS(Grunnspill!$A:$A,Annex!D468)</x:f>
        <x:v>0</x:v>
      </x:c>
      <x:c r="N468" t="n">
        <x:f>COUNTIFS(Grunnspill!$A:$A,Annex!E468)</x:f>
        <x:v>0</x:v>
      </x:c>
      <x:c r="O468" t="n">
        <x:f>COUNTIFS(Grunnspill!$A:$A,Annex!F468)</x:f>
        <x:v>0</x:v>
      </x:c>
      <x:c r="P468" t="n">
        <x:f>COUNTIFS(Grunnspill!$A:$A,Annex!G468)</x:f>
        <x:v>0</x:v>
      </x:c>
      <x:c r="Q468" t="n">
        <x:f>COUNTIFS(Grunnspill!$A:$A,Annex!H468)</x:f>
        <x:v>0</x:v>
      </x:c>
      <x:c r="R468" t="n">
        <x:f>COUNTIFS(Grunnspill!$A:$A,Annex!I468)</x:f>
        <x:v>0</x:v>
      </x:c>
    </x:row>
    <x:row r="469">
      <x:c r="A469">
        <x:v>466</x:v>
      </x:c>
      <x:c r="B469" s="1" t="s">
        <x:v>115</x:v>
      </x:c>
      <x:c r="C469" s="1" t="s">
        <x:v>112</x:v>
      </x:c>
      <x:c r="D469" s="1" t="s">
        <x:v>124</x:v>
      </x:c>
      <x:c r="E469" s="1" t="s">
        <x:v>121</x:v>
      </x:c>
      <x:c r="F469" s="1" t="s">
        <x:v>125</x:v>
      </x:c>
      <x:c r="G469" s="1" t="s">
        <x:v>120</x:v>
      </x:c>
      <x:c r="H469" s="1" t="s">
        <x:v>117</x:v>
      </x:c>
      <x:c r="I469" s="1" t="s">
        <x:v>111</x:v>
      </x:c>
      <x:c r="J469">
        <x:f t="shared" si="8"/>
        <x:v>0</x:v>
      </x:c>
      <x:c r="K469" t="n">
        <x:f>COUNTIFS(Grunnspill!$A:$A,Annex!B469)</x:f>
        <x:v>0</x:v>
      </x:c>
      <x:c r="L469" t="n">
        <x:f>COUNTIFS(Grunnspill!$A:$A,Annex!C469)</x:f>
        <x:v>0</x:v>
      </x:c>
      <x:c r="M469" t="n">
        <x:f>COUNTIFS(Grunnspill!$A:$A,Annex!D469)</x:f>
        <x:v>0</x:v>
      </x:c>
      <x:c r="N469" t="n">
        <x:f>COUNTIFS(Grunnspill!$A:$A,Annex!E469)</x:f>
        <x:v>0</x:v>
      </x:c>
      <x:c r="O469" t="n">
        <x:f>COUNTIFS(Grunnspill!$A:$A,Annex!F469)</x:f>
        <x:v>0</x:v>
      </x:c>
      <x:c r="P469" t="n">
        <x:f>COUNTIFS(Grunnspill!$A:$A,Annex!G469)</x:f>
        <x:v>0</x:v>
      </x:c>
      <x:c r="Q469" t="n">
        <x:f>COUNTIFS(Grunnspill!$A:$A,Annex!H469)</x:f>
        <x:v>0</x:v>
      </x:c>
      <x:c r="R469" t="n">
        <x:f>COUNTIFS(Grunnspill!$A:$A,Annex!I469)</x:f>
        <x:v>0</x:v>
      </x:c>
    </x:row>
    <x:row r="470">
      <x:c r="A470">
        <x:v>467</x:v>
      </x:c>
      <x:c r="B470" s="1" t="s">
        <x:v>115</x:v>
      </x:c>
      <x:c r="C470" s="1" t="s">
        <x:v>112</x:v>
      </x:c>
      <x:c r="D470" s="1" t="s">
        <x:v>124</x:v>
      </x:c>
      <x:c r="E470" s="1" t="s">
        <x:v>121</x:v>
      </x:c>
      <x:c r="F470" s="1" t="s">
        <x:v>125</x:v>
      </x:c>
      <x:c r="G470" s="1" t="s">
        <x:v>120</x:v>
      </x:c>
      <x:c r="H470" s="1" t="s">
        <x:v>111</x:v>
      </x:c>
      <x:c r="I470" s="1" t="s">
        <x:v>118</x:v>
      </x:c>
      <x:c r="J470" t="n">
        <x:f t="shared" ref="J470:J498" si="9">SUM(K470:R470)</x:f>
        <x:v>0</x:v>
      </x:c>
      <x:c r="K470" t="n">
        <x:f>COUNTIFS(Grunnspill!$A:$A,Annex!B470)</x:f>
        <x:v>0</x:v>
      </x:c>
      <x:c r="L470" t="n">
        <x:f>COUNTIFS(Grunnspill!$A:$A,Annex!C470)</x:f>
        <x:v>0</x:v>
      </x:c>
      <x:c r="M470" t="n">
        <x:f>COUNTIFS(Grunnspill!$A:$A,Annex!D470)</x:f>
        <x:v>0</x:v>
      </x:c>
      <x:c r="N470" t="n">
        <x:f>COUNTIFS(Grunnspill!$A:$A,Annex!E470)</x:f>
        <x:v>0</x:v>
      </x:c>
      <x:c r="O470" t="n">
        <x:f>COUNTIFS(Grunnspill!$A:$A,Annex!F470)</x:f>
        <x:v>0</x:v>
      </x:c>
      <x:c r="P470" t="n">
        <x:f>COUNTIFS(Grunnspill!$A:$A,Annex!G470)</x:f>
        <x:v>0</x:v>
      </x:c>
      <x:c r="Q470" t="n">
        <x:f>COUNTIFS(Grunnspill!$A:$A,Annex!H470)</x:f>
        <x:v>0</x:v>
      </x:c>
      <x:c r="R470" t="n">
        <x:f>COUNTIFS(Grunnspill!$A:$A,Annex!I470)</x:f>
        <x:v>0</x:v>
      </x:c>
    </x:row>
    <x:row r="471">
      <x:c r="A471">
        <x:v>468</x:v>
      </x:c>
      <x:c r="B471" s="1" t="s">
        <x:v>115</x:v>
      </x:c>
      <x:c r="C471" s="1" t="s">
        <x:v>111</x:v>
      </x:c>
      <x:c r="D471" s="1" t="s">
        <x:v>124</x:v>
      </x:c>
      <x:c r="E471" s="1" t="s">
        <x:v>121</x:v>
      </x:c>
      <x:c r="F471" s="1" t="s">
        <x:v>125</x:v>
      </x:c>
      <x:c r="G471" s="1" t="s">
        <x:v>120</x:v>
      </x:c>
      <x:c r="H471" s="1" t="s">
        <x:v>117</x:v>
      </x:c>
      <x:c r="I471" s="1" t="s">
        <x:v>113</x:v>
      </x:c>
      <x:c r="J471">
        <x:f t="shared" si="9"/>
        <x:v>0</x:v>
      </x:c>
      <x:c r="K471" t="n">
        <x:f>COUNTIFS(Grunnspill!$A:$A,Annex!B471)</x:f>
        <x:v>0</x:v>
      </x:c>
      <x:c r="L471" t="n">
        <x:f>COUNTIFS(Grunnspill!$A:$A,Annex!C471)</x:f>
        <x:v>0</x:v>
      </x:c>
      <x:c r="M471" t="n">
        <x:f>COUNTIFS(Grunnspill!$A:$A,Annex!D471)</x:f>
        <x:v>0</x:v>
      </x:c>
      <x:c r="N471" t="n">
        <x:f>COUNTIFS(Grunnspill!$A:$A,Annex!E471)</x:f>
        <x:v>0</x:v>
      </x:c>
      <x:c r="O471" t="n">
        <x:f>COUNTIFS(Grunnspill!$A:$A,Annex!F471)</x:f>
        <x:v>0</x:v>
      </x:c>
      <x:c r="P471" t="n">
        <x:f>COUNTIFS(Grunnspill!$A:$A,Annex!G471)</x:f>
        <x:v>0</x:v>
      </x:c>
      <x:c r="Q471" t="n">
        <x:f>COUNTIFS(Grunnspill!$A:$A,Annex!H471)</x:f>
        <x:v>0</x:v>
      </x:c>
      <x:c r="R471" t="n">
        <x:f>COUNTIFS(Grunnspill!$A:$A,Annex!I471)</x:f>
        <x:v>0</x:v>
      </x:c>
    </x:row>
    <x:row r="472">
      <x:c r="A472">
        <x:v>469</x:v>
      </x:c>
      <x:c r="B472" s="1" t="s">
        <x:v>115</x:v>
      </x:c>
      <x:c r="C472" s="1" t="s">
        <x:v>111</x:v>
      </x:c>
      <x:c r="D472" s="1" t="s">
        <x:v>124</x:v>
      </x:c>
      <x:c r="E472" s="1" t="s">
        <x:v>121</x:v>
      </x:c>
      <x:c r="F472" s="1" t="s">
        <x:v>125</x:v>
      </x:c>
      <x:c r="G472" s="1" t="s">
        <x:v>120</x:v>
      </x:c>
      <x:c r="H472" s="1" t="s">
        <x:v>113</x:v>
      </x:c>
      <x:c r="I472" s="1" t="s">
        <x:v>118</x:v>
      </x:c>
      <x:c r="J472">
        <x:f t="shared" si="9"/>
        <x:v>0</x:v>
      </x:c>
      <x:c r="K472" t="n">
        <x:f>COUNTIFS(Grunnspill!$A:$A,Annex!B472)</x:f>
        <x:v>0</x:v>
      </x:c>
      <x:c r="L472" t="n">
        <x:f>COUNTIFS(Grunnspill!$A:$A,Annex!C472)</x:f>
        <x:v>0</x:v>
      </x:c>
      <x:c r="M472" t="n">
        <x:f>COUNTIFS(Grunnspill!$A:$A,Annex!D472)</x:f>
        <x:v>0</x:v>
      </x:c>
      <x:c r="N472" t="n">
        <x:f>COUNTIFS(Grunnspill!$A:$A,Annex!E472)</x:f>
        <x:v>0</x:v>
      </x:c>
      <x:c r="O472" t="n">
        <x:f>COUNTIFS(Grunnspill!$A:$A,Annex!F472)</x:f>
        <x:v>0</x:v>
      </x:c>
      <x:c r="P472" t="n">
        <x:f>COUNTIFS(Grunnspill!$A:$A,Annex!G472)</x:f>
        <x:v>0</x:v>
      </x:c>
      <x:c r="Q472" t="n">
        <x:f>COUNTIFS(Grunnspill!$A:$A,Annex!H472)</x:f>
        <x:v>0</x:v>
      </x:c>
      <x:c r="R472" t="n">
        <x:f>COUNTIFS(Grunnspill!$A:$A,Annex!I472)</x:f>
        <x:v>0</x:v>
      </x:c>
    </x:row>
    <x:row r="473">
      <x:c r="A473">
        <x:v>470</x:v>
      </x:c>
      <x:c r="B473" s="1" t="s">
        <x:v>115</x:v>
      </x:c>
      <x:c r="C473" s="1" t="s">
        <x:v>112</x:v>
      </x:c>
      <x:c r="D473" s="1" t="s">
        <x:v>124</x:v>
      </x:c>
      <x:c r="E473" s="1" t="s">
        <x:v>121</x:v>
      </x:c>
      <x:c r="F473" s="1" t="s">
        <x:v>125</x:v>
      </x:c>
      <x:c r="G473" s="1" t="s">
        <x:v>120</x:v>
      </x:c>
      <x:c r="H473" s="1" t="s">
        <x:v>111</x:v>
      </x:c>
      <x:c r="I473" s="1" t="s">
        <x:v>113</x:v>
      </x:c>
      <x:c r="J473">
        <x:f t="shared" si="9"/>
        <x:v>0</x:v>
      </x:c>
      <x:c r="K473" t="n">
        <x:f>COUNTIFS(Grunnspill!$A:$A,Annex!B473)</x:f>
        <x:v>0</x:v>
      </x:c>
      <x:c r="L473" t="n">
        <x:f>COUNTIFS(Grunnspill!$A:$A,Annex!C473)</x:f>
        <x:v>0</x:v>
      </x:c>
      <x:c r="M473" t="n">
        <x:f>COUNTIFS(Grunnspill!$A:$A,Annex!D473)</x:f>
        <x:v>0</x:v>
      </x:c>
      <x:c r="N473" t="n">
        <x:f>COUNTIFS(Grunnspill!$A:$A,Annex!E473)</x:f>
        <x:v>0</x:v>
      </x:c>
      <x:c r="O473" t="n">
        <x:f>COUNTIFS(Grunnspill!$A:$A,Annex!F473)</x:f>
        <x:v>0</x:v>
      </x:c>
      <x:c r="P473" t="n">
        <x:f>COUNTIFS(Grunnspill!$A:$A,Annex!G473)</x:f>
        <x:v>0</x:v>
      </x:c>
      <x:c r="Q473" t="n">
        <x:f>COUNTIFS(Grunnspill!$A:$A,Annex!H473)</x:f>
        <x:v>0</x:v>
      </x:c>
      <x:c r="R473" t="n">
        <x:f>COUNTIFS(Grunnspill!$A:$A,Annex!I473)</x:f>
        <x:v>0</x:v>
      </x:c>
    </x:row>
    <x:row r="474">
      <x:c r="A474">
        <x:v>471</x:v>
      </x:c>
      <x:c r="B474" s="1" t="s">
        <x:v>111</x:v>
      </x:c>
      <x:c r="C474" s="1" t="s">
        <x:v>116</x:v>
      </x:c>
      <x:c r="D474" s="1" t="s">
        <x:v>124</x:v>
      </x:c>
      <x:c r="E474" s="1" t="s">
        <x:v>121</x:v>
      </x:c>
      <x:c r="F474" s="1" t="s">
        <x:v>125</x:v>
      </x:c>
      <x:c r="G474" s="1" t="s">
        <x:v>120</x:v>
      </x:c>
      <x:c r="H474" s="1" t="s">
        <x:v>117</x:v>
      </x:c>
      <x:c r="I474" s="1" t="s">
        <x:v>118</x:v>
      </x:c>
      <x:c r="J474">
        <x:f t="shared" si="9"/>
        <x:v>0</x:v>
      </x:c>
      <x:c r="K474" t="n">
        <x:f>COUNTIFS(Grunnspill!$A:$A,Annex!B474)</x:f>
        <x:v>0</x:v>
      </x:c>
      <x:c r="L474" t="n">
        <x:f>COUNTIFS(Grunnspill!$A:$A,Annex!C474)</x:f>
        <x:v>0</x:v>
      </x:c>
      <x:c r="M474" t="n">
        <x:f>COUNTIFS(Grunnspill!$A:$A,Annex!D474)</x:f>
        <x:v>0</x:v>
      </x:c>
      <x:c r="N474" t="n">
        <x:f>COUNTIFS(Grunnspill!$A:$A,Annex!E474)</x:f>
        <x:v>0</x:v>
      </x:c>
      <x:c r="O474" t="n">
        <x:f>COUNTIFS(Grunnspill!$A:$A,Annex!F474)</x:f>
        <x:v>0</x:v>
      </x:c>
      <x:c r="P474" t="n">
        <x:f>COUNTIFS(Grunnspill!$A:$A,Annex!G474)</x:f>
        <x:v>0</x:v>
      </x:c>
      <x:c r="Q474" t="n">
        <x:f>COUNTIFS(Grunnspill!$A:$A,Annex!H474)</x:f>
        <x:v>0</x:v>
      </x:c>
      <x:c r="R474" t="n">
        <x:f>COUNTIFS(Grunnspill!$A:$A,Annex!I474)</x:f>
        <x:v>0</x:v>
      </x:c>
    </x:row>
    <x:row r="475">
      <x:c r="A475">
        <x:v>472</x:v>
      </x:c>
      <x:c r="B475" s="1" t="s">
        <x:v>111</x:v>
      </x:c>
      <x:c r="C475" s="1" t="s">
        <x:v>116</x:v>
      </x:c>
      <x:c r="D475" s="1" t="s">
        <x:v>124</x:v>
      </x:c>
      <x:c r="E475" s="1" t="s">
        <x:v>121</x:v>
      </x:c>
      <x:c r="F475" s="1" t="s">
        <x:v>125</x:v>
      </x:c>
      <x:c r="G475" s="1" t="s">
        <x:v>120</x:v>
      </x:c>
      <x:c r="H475" s="1" t="s">
        <x:v>117</x:v>
      </x:c>
      <x:c r="I475" s="1" t="s">
        <x:v>112</x:v>
      </x:c>
      <x:c r="J475">
        <x:f t="shared" si="9"/>
        <x:v>0</x:v>
      </x:c>
      <x:c r="K475" t="n">
        <x:f>COUNTIFS(Grunnspill!$A:$A,Annex!B475)</x:f>
        <x:v>0</x:v>
      </x:c>
      <x:c r="L475" t="n">
        <x:f>COUNTIFS(Grunnspill!$A:$A,Annex!C475)</x:f>
        <x:v>0</x:v>
      </x:c>
      <x:c r="M475" t="n">
        <x:f>COUNTIFS(Grunnspill!$A:$A,Annex!D475)</x:f>
        <x:v>0</x:v>
      </x:c>
      <x:c r="N475" t="n">
        <x:f>COUNTIFS(Grunnspill!$A:$A,Annex!E475)</x:f>
        <x:v>0</x:v>
      </x:c>
      <x:c r="O475" t="n">
        <x:f>COUNTIFS(Grunnspill!$A:$A,Annex!F475)</x:f>
        <x:v>0</x:v>
      </x:c>
      <x:c r="P475" t="n">
        <x:f>COUNTIFS(Grunnspill!$A:$A,Annex!G475)</x:f>
        <x:v>0</x:v>
      </x:c>
      <x:c r="Q475" t="n">
        <x:f>COUNTIFS(Grunnspill!$A:$A,Annex!H475)</x:f>
        <x:v>0</x:v>
      </x:c>
      <x:c r="R475" t="n">
        <x:f>COUNTIFS(Grunnspill!$A:$A,Annex!I475)</x:f>
        <x:v>0</x:v>
      </x:c>
    </x:row>
    <x:row r="476">
      <x:c r="A476">
        <x:v>473</x:v>
      </x:c>
      <x:c r="B476" s="1" t="s">
        <x:v>111</x:v>
      </x:c>
      <x:c r="C476" s="1" t="s">
        <x:v>116</x:v>
      </x:c>
      <x:c r="D476" s="1" t="s">
        <x:v>124</x:v>
      </x:c>
      <x:c r="E476" s="1" t="s">
        <x:v>121</x:v>
      </x:c>
      <x:c r="F476" s="1" t="s">
        <x:v>125</x:v>
      </x:c>
      <x:c r="G476" s="1" t="s">
        <x:v>120</x:v>
      </x:c>
      <x:c r="H476" s="1" t="s">
        <x:v>112</x:v>
      </x:c>
      <x:c r="I476" s="1" t="s">
        <x:v>118</x:v>
      </x:c>
      <x:c r="J476">
        <x:f t="shared" si="9"/>
        <x:v>0</x:v>
      </x:c>
      <x:c r="K476" t="n">
        <x:f>COUNTIFS(Grunnspill!$A:$A,Annex!B476)</x:f>
        <x:v>0</x:v>
      </x:c>
      <x:c r="L476" t="n">
        <x:f>COUNTIFS(Grunnspill!$A:$A,Annex!C476)</x:f>
        <x:v>0</x:v>
      </x:c>
      <x:c r="M476" t="n">
        <x:f>COUNTIFS(Grunnspill!$A:$A,Annex!D476)</x:f>
        <x:v>0</x:v>
      </x:c>
      <x:c r="N476" t="n">
        <x:f>COUNTIFS(Grunnspill!$A:$A,Annex!E476)</x:f>
        <x:v>0</x:v>
      </x:c>
      <x:c r="O476" t="n">
        <x:f>COUNTIFS(Grunnspill!$A:$A,Annex!F476)</x:f>
        <x:v>0</x:v>
      </x:c>
      <x:c r="P476" t="n">
        <x:f>COUNTIFS(Grunnspill!$A:$A,Annex!G476)</x:f>
        <x:v>0</x:v>
      </x:c>
      <x:c r="Q476" t="n">
        <x:f>COUNTIFS(Grunnspill!$A:$A,Annex!H476)</x:f>
        <x:v>0</x:v>
      </x:c>
      <x:c r="R476" t="n">
        <x:f>COUNTIFS(Grunnspill!$A:$A,Annex!I476)</x:f>
        <x:v>0</x:v>
      </x:c>
    </x:row>
    <x:row r="477">
      <x:c r="A477">
        <x:v>474</x:v>
      </x:c>
      <x:c r="B477" s="1" t="s">
        <x:v>111</x:v>
      </x:c>
      <x:c r="C477" s="1" t="s">
        <x:v>116</x:v>
      </x:c>
      <x:c r="D477" s="1" t="s">
        <x:v>124</x:v>
      </x:c>
      <x:c r="E477" s="1" t="s">
        <x:v>121</x:v>
      </x:c>
      <x:c r="F477" s="1" t="s">
        <x:v>125</x:v>
      </x:c>
      <x:c r="G477" s="1" t="s">
        <x:v>120</x:v>
      </x:c>
      <x:c r="H477" s="1" t="s">
        <x:v>117</x:v>
      </x:c>
      <x:c r="I477" s="1" t="s">
        <x:v>113</x:v>
      </x:c>
      <x:c r="J477">
        <x:f t="shared" si="9"/>
        <x:v>0</x:v>
      </x:c>
      <x:c r="K477" t="n">
        <x:f>COUNTIFS(Grunnspill!$A:$A,Annex!B477)</x:f>
        <x:v>0</x:v>
      </x:c>
      <x:c r="L477" t="n">
        <x:f>COUNTIFS(Grunnspill!$A:$A,Annex!C477)</x:f>
        <x:v>0</x:v>
      </x:c>
      <x:c r="M477" t="n">
        <x:f>COUNTIFS(Grunnspill!$A:$A,Annex!D477)</x:f>
        <x:v>0</x:v>
      </x:c>
      <x:c r="N477" t="n">
        <x:f>COUNTIFS(Grunnspill!$A:$A,Annex!E477)</x:f>
        <x:v>0</x:v>
      </x:c>
      <x:c r="O477" t="n">
        <x:f>COUNTIFS(Grunnspill!$A:$A,Annex!F477)</x:f>
        <x:v>0</x:v>
      </x:c>
      <x:c r="P477" t="n">
        <x:f>COUNTIFS(Grunnspill!$A:$A,Annex!G477)</x:f>
        <x:v>0</x:v>
      </x:c>
      <x:c r="Q477" t="n">
        <x:f>COUNTIFS(Grunnspill!$A:$A,Annex!H477)</x:f>
        <x:v>0</x:v>
      </x:c>
      <x:c r="R477" t="n">
        <x:f>COUNTIFS(Grunnspill!$A:$A,Annex!I477)</x:f>
        <x:v>0</x:v>
      </x:c>
    </x:row>
    <x:row r="478">
      <x:c r="A478">
        <x:v>475</x:v>
      </x:c>
      <x:c r="B478" s="1" t="s">
        <x:v>111</x:v>
      </x:c>
      <x:c r="C478" s="1" t="s">
        <x:v>116</x:v>
      </x:c>
      <x:c r="D478" s="1" t="s">
        <x:v>124</x:v>
      </x:c>
      <x:c r="E478" s="1" t="s">
        <x:v>121</x:v>
      </x:c>
      <x:c r="F478" s="1" t="s">
        <x:v>125</x:v>
      </x:c>
      <x:c r="G478" s="1" t="s">
        <x:v>120</x:v>
      </x:c>
      <x:c r="H478" s="1" t="s">
        <x:v>113</x:v>
      </x:c>
      <x:c r="I478" s="1" t="s">
        <x:v>118</x:v>
      </x:c>
      <x:c r="J478">
        <x:f t="shared" si="9"/>
        <x:v>0</x:v>
      </x:c>
      <x:c r="K478" t="n">
        <x:f>COUNTIFS(Grunnspill!$A:$A,Annex!B478)</x:f>
        <x:v>0</x:v>
      </x:c>
      <x:c r="L478" t="n">
        <x:f>COUNTIFS(Grunnspill!$A:$A,Annex!C478)</x:f>
        <x:v>0</x:v>
      </x:c>
      <x:c r="M478" t="n">
        <x:f>COUNTIFS(Grunnspill!$A:$A,Annex!D478)</x:f>
        <x:v>0</x:v>
      </x:c>
      <x:c r="N478" t="n">
        <x:f>COUNTIFS(Grunnspill!$A:$A,Annex!E478)</x:f>
        <x:v>0</x:v>
      </x:c>
      <x:c r="O478" t="n">
        <x:f>COUNTIFS(Grunnspill!$A:$A,Annex!F478)</x:f>
        <x:v>0</x:v>
      </x:c>
      <x:c r="P478" t="n">
        <x:f>COUNTIFS(Grunnspill!$A:$A,Annex!G478)</x:f>
        <x:v>0</x:v>
      </x:c>
      <x:c r="Q478" t="n">
        <x:f>COUNTIFS(Grunnspill!$A:$A,Annex!H478)</x:f>
        <x:v>0</x:v>
      </x:c>
      <x:c r="R478" t="n">
        <x:f>COUNTIFS(Grunnspill!$A:$A,Annex!I478)</x:f>
        <x:v>0</x:v>
      </x:c>
    </x:row>
    <x:row r="479">
      <x:c r="A479">
        <x:v>476</x:v>
      </x:c>
      <x:c r="B479" s="1" t="s">
        <x:v>111</x:v>
      </x:c>
      <x:c r="C479" s="1" t="s">
        <x:v>116</x:v>
      </x:c>
      <x:c r="D479" s="1" t="s">
        <x:v>124</x:v>
      </x:c>
      <x:c r="E479" s="1" t="s">
        <x:v>121</x:v>
      </x:c>
      <x:c r="F479" s="1" t="s">
        <x:v>125</x:v>
      </x:c>
      <x:c r="G479" s="1" t="s">
        <x:v>120</x:v>
      </x:c>
      <x:c r="H479" s="1" t="s">
        <x:v>113</x:v>
      </x:c>
      <x:c r="I479" s="1" t="s">
        <x:v>112</x:v>
      </x:c>
      <x:c r="J479">
        <x:f t="shared" si="9"/>
        <x:v>0</x:v>
      </x:c>
      <x:c r="K479" t="n">
        <x:f>COUNTIFS(Grunnspill!$A:$A,Annex!B479)</x:f>
        <x:v>0</x:v>
      </x:c>
      <x:c r="L479" t="n">
        <x:f>COUNTIFS(Grunnspill!$A:$A,Annex!C479)</x:f>
        <x:v>0</x:v>
      </x:c>
      <x:c r="M479" t="n">
        <x:f>COUNTIFS(Grunnspill!$A:$A,Annex!D479)</x:f>
        <x:v>0</x:v>
      </x:c>
      <x:c r="N479" t="n">
        <x:f>COUNTIFS(Grunnspill!$A:$A,Annex!E479)</x:f>
        <x:v>0</x:v>
      </x:c>
      <x:c r="O479" t="n">
        <x:f>COUNTIFS(Grunnspill!$A:$A,Annex!F479)</x:f>
        <x:v>0</x:v>
      </x:c>
      <x:c r="P479" t="n">
        <x:f>COUNTIFS(Grunnspill!$A:$A,Annex!G479)</x:f>
        <x:v>0</x:v>
      </x:c>
      <x:c r="Q479" t="n">
        <x:f>COUNTIFS(Grunnspill!$A:$A,Annex!H479)</x:f>
        <x:v>0</x:v>
      </x:c>
      <x:c r="R479" t="n">
        <x:f>COUNTIFS(Grunnspill!$A:$A,Annex!I479)</x:f>
        <x:v>0</x:v>
      </x:c>
    </x:row>
    <x:row r="480">
      <x:c r="A480">
        <x:v>477</x:v>
      </x:c>
      <x:c r="B480" s="1" t="s">
        <x:v>115</x:v>
      </x:c>
      <x:c r="C480" s="1" t="s">
        <x:v>116</x:v>
      </x:c>
      <x:c r="D480" s="1" t="s">
        <x:v>124</x:v>
      </x:c>
      <x:c r="E480" s="1" t="s">
        <x:v>121</x:v>
      </x:c>
      <x:c r="F480" s="1" t="s">
        <x:v>125</x:v>
      </x:c>
      <x:c r="G480" s="1" t="s">
        <x:v>120</x:v>
      </x:c>
      <x:c r="H480" s="1" t="s">
        <x:v>117</x:v>
      </x:c>
      <x:c r="I480" s="1" t="s">
        <x:v>111</x:v>
      </x:c>
      <x:c r="J480">
        <x:f t="shared" si="9"/>
        <x:v>0</x:v>
      </x:c>
      <x:c r="K480" t="n">
        <x:f>COUNTIFS(Grunnspill!$A:$A,Annex!B480)</x:f>
        <x:v>0</x:v>
      </x:c>
      <x:c r="L480" t="n">
        <x:f>COUNTIFS(Grunnspill!$A:$A,Annex!C480)</x:f>
        <x:v>0</x:v>
      </x:c>
      <x:c r="M480" t="n">
        <x:f>COUNTIFS(Grunnspill!$A:$A,Annex!D480)</x:f>
        <x:v>0</x:v>
      </x:c>
      <x:c r="N480" t="n">
        <x:f>COUNTIFS(Grunnspill!$A:$A,Annex!E480)</x:f>
        <x:v>0</x:v>
      </x:c>
      <x:c r="O480" t="n">
        <x:f>COUNTIFS(Grunnspill!$A:$A,Annex!F480)</x:f>
        <x:v>0</x:v>
      </x:c>
      <x:c r="P480" t="n">
        <x:f>COUNTIFS(Grunnspill!$A:$A,Annex!G480)</x:f>
        <x:v>0</x:v>
      </x:c>
      <x:c r="Q480" t="n">
        <x:f>COUNTIFS(Grunnspill!$A:$A,Annex!H480)</x:f>
        <x:v>0</x:v>
      </x:c>
      <x:c r="R480" t="n">
        <x:f>COUNTIFS(Grunnspill!$A:$A,Annex!I480)</x:f>
        <x:v>0</x:v>
      </x:c>
    </x:row>
    <x:row r="481">
      <x:c r="A481">
        <x:v>478</x:v>
      </x:c>
      <x:c r="B481" s="1" t="s">
        <x:v>115</x:v>
      </x:c>
      <x:c r="C481" s="1" t="s">
        <x:v>116</x:v>
      </x:c>
      <x:c r="D481" s="1" t="s">
        <x:v>124</x:v>
      </x:c>
      <x:c r="E481" s="1" t="s">
        <x:v>121</x:v>
      </x:c>
      <x:c r="F481" s="1" t="s">
        <x:v>125</x:v>
      </x:c>
      <x:c r="G481" s="1" t="s">
        <x:v>120</x:v>
      </x:c>
      <x:c r="H481" s="1" t="s">
        <x:v>111</x:v>
      </x:c>
      <x:c r="I481" s="1" t="s">
        <x:v>118</x:v>
      </x:c>
      <x:c r="J481">
        <x:f t="shared" si="9"/>
        <x:v>0</x:v>
      </x:c>
      <x:c r="K481" t="n">
        <x:f>COUNTIFS(Grunnspill!$A:$A,Annex!B481)</x:f>
        <x:v>0</x:v>
      </x:c>
      <x:c r="L481" t="n">
        <x:f>COUNTIFS(Grunnspill!$A:$A,Annex!C481)</x:f>
        <x:v>0</x:v>
      </x:c>
      <x:c r="M481" t="n">
        <x:f>COUNTIFS(Grunnspill!$A:$A,Annex!D481)</x:f>
        <x:v>0</x:v>
      </x:c>
      <x:c r="N481" t="n">
        <x:f>COUNTIFS(Grunnspill!$A:$A,Annex!E481)</x:f>
        <x:v>0</x:v>
      </x:c>
      <x:c r="O481" t="n">
        <x:f>COUNTIFS(Grunnspill!$A:$A,Annex!F481)</x:f>
        <x:v>0</x:v>
      </x:c>
      <x:c r="P481" t="n">
        <x:f>COUNTIFS(Grunnspill!$A:$A,Annex!G481)</x:f>
        <x:v>0</x:v>
      </x:c>
      <x:c r="Q481" t="n">
        <x:f>COUNTIFS(Grunnspill!$A:$A,Annex!H481)</x:f>
        <x:v>0</x:v>
      </x:c>
      <x:c r="R481" t="n">
        <x:f>COUNTIFS(Grunnspill!$A:$A,Annex!I481)</x:f>
        <x:v>0</x:v>
      </x:c>
    </x:row>
    <x:row r="482">
      <x:c r="A482">
        <x:v>479</x:v>
      </x:c>
      <x:c r="B482" s="1" t="s">
        <x:v>115</x:v>
      </x:c>
      <x:c r="C482" s="1" t="s">
        <x:v>116</x:v>
      </x:c>
      <x:c r="D482" s="1" t="s">
        <x:v>124</x:v>
      </x:c>
      <x:c r="E482" s="1" t="s">
        <x:v>121</x:v>
      </x:c>
      <x:c r="F482" s="1" t="s">
        <x:v>125</x:v>
      </x:c>
      <x:c r="G482" s="1" t="s">
        <x:v>120</x:v>
      </x:c>
      <x:c r="H482" s="1" t="s">
        <x:v>111</x:v>
      </x:c>
      <x:c r="I482" s="1" t="s">
        <x:v>112</x:v>
      </x:c>
      <x:c r="J482">
        <x:f t="shared" si="9"/>
        <x:v>0</x:v>
      </x:c>
      <x:c r="K482" t="n">
        <x:f>COUNTIFS(Grunnspill!$A:$A,Annex!B482)</x:f>
        <x:v>0</x:v>
      </x:c>
      <x:c r="L482" t="n">
        <x:f>COUNTIFS(Grunnspill!$A:$A,Annex!C482)</x:f>
        <x:v>0</x:v>
      </x:c>
      <x:c r="M482" t="n">
        <x:f>COUNTIFS(Grunnspill!$A:$A,Annex!D482)</x:f>
        <x:v>0</x:v>
      </x:c>
      <x:c r="N482" t="n">
        <x:f>COUNTIFS(Grunnspill!$A:$A,Annex!E482)</x:f>
        <x:v>0</x:v>
      </x:c>
      <x:c r="O482" t="n">
        <x:f>COUNTIFS(Grunnspill!$A:$A,Annex!F482)</x:f>
        <x:v>0</x:v>
      </x:c>
      <x:c r="P482" t="n">
        <x:f>COUNTIFS(Grunnspill!$A:$A,Annex!G482)</x:f>
        <x:v>0</x:v>
      </x:c>
      <x:c r="Q482" t="n">
        <x:f>COUNTIFS(Grunnspill!$A:$A,Annex!H482)</x:f>
        <x:v>0</x:v>
      </x:c>
      <x:c r="R482" t="n">
        <x:f>COUNTIFS(Grunnspill!$A:$A,Annex!I482)</x:f>
        <x:v>0</x:v>
      </x:c>
    </x:row>
    <x:row r="483">
      <x:c r="A483">
        <x:v>480</x:v>
      </x:c>
      <x:c r="B483" s="1" t="s">
        <x:v>115</x:v>
      </x:c>
      <x:c r="C483" s="1" t="s">
        <x:v>116</x:v>
      </x:c>
      <x:c r="D483" s="1" t="s">
        <x:v>124</x:v>
      </x:c>
      <x:c r="E483" s="1" t="s">
        <x:v>121</x:v>
      </x:c>
      <x:c r="F483" s="1" t="s">
        <x:v>125</x:v>
      </x:c>
      <x:c r="G483" s="1" t="s">
        <x:v>120</x:v>
      </x:c>
      <x:c r="H483" s="1" t="s">
        <x:v>111</x:v>
      </x:c>
      <x:c r="I483" s="1" t="s">
        <x:v>113</x:v>
      </x:c>
      <x:c r="J483">
        <x:f t="shared" si="9"/>
        <x:v>0</x:v>
      </x:c>
      <x:c r="K483" t="n">
        <x:f>COUNTIFS(Grunnspill!$A:$A,Annex!B483)</x:f>
        <x:v>0</x:v>
      </x:c>
      <x:c r="L483" t="n">
        <x:f>COUNTIFS(Grunnspill!$A:$A,Annex!C483)</x:f>
        <x:v>0</x:v>
      </x:c>
      <x:c r="M483" t="n">
        <x:f>COUNTIFS(Grunnspill!$A:$A,Annex!D483)</x:f>
        <x:v>0</x:v>
      </x:c>
      <x:c r="N483" t="n">
        <x:f>COUNTIFS(Grunnspill!$A:$A,Annex!E483)</x:f>
        <x:v>0</x:v>
      </x:c>
      <x:c r="O483" t="n">
        <x:f>COUNTIFS(Grunnspill!$A:$A,Annex!F483)</x:f>
        <x:v>0</x:v>
      </x:c>
      <x:c r="P483" t="n">
        <x:f>COUNTIFS(Grunnspill!$A:$A,Annex!G483)</x:f>
        <x:v>0</x:v>
      </x:c>
      <x:c r="Q483" t="n">
        <x:f>COUNTIFS(Grunnspill!$A:$A,Annex!H483)</x:f>
        <x:v>0</x:v>
      </x:c>
      <x:c r="R483" t="n">
        <x:f>COUNTIFS(Grunnspill!$A:$A,Annex!I483)</x:f>
        <x:v>0</x:v>
      </x:c>
    </x:row>
    <x:row r="484">
      <x:c r="A484">
        <x:v>481</x:v>
      </x:c>
      <x:c r="B484" s="1" t="s">
        <x:v>121</x:v>
      </x:c>
      <x:c r="C484" s="1" t="s">
        <x:v>111</x:v>
      </x:c>
      <x:c r="D484" s="1" t="s">
        <x:v>124</x:v>
      </x:c>
      <x:c r="E484" s="1" t="s">
        <x:v>120</x:v>
      </x:c>
      <x:c r="F484" s="1" t="s">
        <x:v>125</x:v>
      </x:c>
      <x:c r="G484" s="1" t="s">
        <x:v>114</x:v>
      </x:c>
      <x:c r="H484" s="1" t="s">
        <x:v>117</x:v>
      </x:c>
      <x:c r="I484" s="1" t="s">
        <x:v>118</x:v>
      </x:c>
      <x:c r="J484">
        <x:f t="shared" si="9"/>
        <x:v>0</x:v>
      </x:c>
      <x:c r="K484" t="n">
        <x:f>COUNTIFS(Grunnspill!$A:$A,Annex!B484)</x:f>
        <x:v>0</x:v>
      </x:c>
      <x:c r="L484" t="n">
        <x:f>COUNTIFS(Grunnspill!$A:$A,Annex!C484)</x:f>
        <x:v>0</x:v>
      </x:c>
      <x:c r="M484" t="n">
        <x:f>COUNTIFS(Grunnspill!$A:$A,Annex!D484)</x:f>
        <x:v>0</x:v>
      </x:c>
      <x:c r="N484" t="n">
        <x:f>COUNTIFS(Grunnspill!$A:$A,Annex!E484)</x:f>
        <x:v>0</x:v>
      </x:c>
      <x:c r="O484" t="n">
        <x:f>COUNTIFS(Grunnspill!$A:$A,Annex!F484)</x:f>
        <x:v>0</x:v>
      </x:c>
      <x:c r="P484" t="n">
        <x:f>COUNTIFS(Grunnspill!$A:$A,Annex!G484)</x:f>
        <x:v>0</x:v>
      </x:c>
      <x:c r="Q484" t="n">
        <x:f>COUNTIFS(Grunnspill!$A:$A,Annex!H484)</x:f>
        <x:v>0</x:v>
      </x:c>
      <x:c r="R484" t="n">
        <x:f>COUNTIFS(Grunnspill!$A:$A,Annex!I484)</x:f>
        <x:v>0</x:v>
      </x:c>
    </x:row>
    <x:row r="485">
      <x:c r="A485">
        <x:v>482</x:v>
      </x:c>
      <x:c r="B485" s="1" t="s">
        <x:v>121</x:v>
      </x:c>
      <x:c r="C485" s="1" t="s">
        <x:v>112</x:v>
      </x:c>
      <x:c r="D485" s="1" t="s">
        <x:v>124</x:v>
      </x:c>
      <x:c r="E485" s="1" t="s">
        <x:v>120</x:v>
      </x:c>
      <x:c r="F485" s="1" t="s">
        <x:v>125</x:v>
      </x:c>
      <x:c r="G485" s="1" t="s">
        <x:v>114</x:v>
      </x:c>
      <x:c r="H485" s="1" t="s">
        <x:v>117</x:v>
      </x:c>
      <x:c r="I485" s="1" t="s">
        <x:v>111</x:v>
      </x:c>
      <x:c r="J485">
        <x:f t="shared" si="9"/>
        <x:v>0</x:v>
      </x:c>
      <x:c r="K485" t="n">
        <x:f>COUNTIFS(Grunnspill!$A:$A,Annex!B485)</x:f>
        <x:v>0</x:v>
      </x:c>
      <x:c r="L485" t="n">
        <x:f>COUNTIFS(Grunnspill!$A:$A,Annex!C485)</x:f>
        <x:v>0</x:v>
      </x:c>
      <x:c r="M485" t="n">
        <x:f>COUNTIFS(Grunnspill!$A:$A,Annex!D485)</x:f>
        <x:v>0</x:v>
      </x:c>
      <x:c r="N485" t="n">
        <x:f>COUNTIFS(Grunnspill!$A:$A,Annex!E485)</x:f>
        <x:v>0</x:v>
      </x:c>
      <x:c r="O485" t="n">
        <x:f>COUNTIFS(Grunnspill!$A:$A,Annex!F485)</x:f>
        <x:v>0</x:v>
      </x:c>
      <x:c r="P485" t="n">
        <x:f>COUNTIFS(Grunnspill!$A:$A,Annex!G485)</x:f>
        <x:v>0</x:v>
      </x:c>
      <x:c r="Q485" t="n">
        <x:f>COUNTIFS(Grunnspill!$A:$A,Annex!H485)</x:f>
        <x:v>0</x:v>
      </x:c>
      <x:c r="R485" t="n">
        <x:f>COUNTIFS(Grunnspill!$A:$A,Annex!I485)</x:f>
        <x:v>0</x:v>
      </x:c>
    </x:row>
    <x:row r="486">
      <x:c r="A486">
        <x:v>483</x:v>
      </x:c>
      <x:c r="B486" s="1" t="s">
        <x:v>121</x:v>
      </x:c>
      <x:c r="C486" s="1" t="s">
        <x:v>112</x:v>
      </x:c>
      <x:c r="D486" s="1" t="s">
        <x:v>124</x:v>
      </x:c>
      <x:c r="E486" s="1" t="s">
        <x:v>120</x:v>
      </x:c>
      <x:c r="F486" s="1" t="s">
        <x:v>125</x:v>
      </x:c>
      <x:c r="G486" s="1" t="s">
        <x:v>114</x:v>
      </x:c>
      <x:c r="H486" s="1" t="s">
        <x:v>111</x:v>
      </x:c>
      <x:c r="I486" s="1" t="s">
        <x:v>118</x:v>
      </x:c>
      <x:c r="J486">
        <x:f t="shared" si="9"/>
        <x:v>0</x:v>
      </x:c>
      <x:c r="K486" t="n">
        <x:f>COUNTIFS(Grunnspill!$A:$A,Annex!B486)</x:f>
        <x:v>0</x:v>
      </x:c>
      <x:c r="L486" t="n">
        <x:f>COUNTIFS(Grunnspill!$A:$A,Annex!C486)</x:f>
        <x:v>0</x:v>
      </x:c>
      <x:c r="M486" t="n">
        <x:f>COUNTIFS(Grunnspill!$A:$A,Annex!D486)</x:f>
        <x:v>0</x:v>
      </x:c>
      <x:c r="N486" t="n">
        <x:f>COUNTIFS(Grunnspill!$A:$A,Annex!E486)</x:f>
        <x:v>0</x:v>
      </x:c>
      <x:c r="O486" t="n">
        <x:f>COUNTIFS(Grunnspill!$A:$A,Annex!F486)</x:f>
        <x:v>0</x:v>
      </x:c>
      <x:c r="P486" t="n">
        <x:f>COUNTIFS(Grunnspill!$A:$A,Annex!G486)</x:f>
        <x:v>0</x:v>
      </x:c>
      <x:c r="Q486" t="n">
        <x:f>COUNTIFS(Grunnspill!$A:$A,Annex!H486)</x:f>
        <x:v>0</x:v>
      </x:c>
      <x:c r="R486" t="n">
        <x:f>COUNTIFS(Grunnspill!$A:$A,Annex!I486)</x:f>
        <x:v>0</x:v>
      </x:c>
    </x:row>
    <x:row r="487">
      <x:c r="A487">
        <x:v>484</x:v>
      </x:c>
      <x:c r="B487" s="1" t="s">
        <x:v>121</x:v>
      </x:c>
      <x:c r="C487" s="1" t="s">
        <x:v>111</x:v>
      </x:c>
      <x:c r="D487" s="1" t="s">
        <x:v>124</x:v>
      </x:c>
      <x:c r="E487" s="1" t="s">
        <x:v>120</x:v>
      </x:c>
      <x:c r="F487" s="1" t="s">
        <x:v>125</x:v>
      </x:c>
      <x:c r="G487" s="1" t="s">
        <x:v>114</x:v>
      </x:c>
      <x:c r="H487" s="1" t="s">
        <x:v>117</x:v>
      </x:c>
      <x:c r="I487" s="1" t="s">
        <x:v>113</x:v>
      </x:c>
      <x:c r="J487">
        <x:f t="shared" si="9"/>
        <x:v>0</x:v>
      </x:c>
      <x:c r="K487" t="n">
        <x:f>COUNTIFS(Grunnspill!$A:$A,Annex!B487)</x:f>
        <x:v>0</x:v>
      </x:c>
      <x:c r="L487" t="n">
        <x:f>COUNTIFS(Grunnspill!$A:$A,Annex!C487)</x:f>
        <x:v>0</x:v>
      </x:c>
      <x:c r="M487" t="n">
        <x:f>COUNTIFS(Grunnspill!$A:$A,Annex!D487)</x:f>
        <x:v>0</x:v>
      </x:c>
      <x:c r="N487" t="n">
        <x:f>COUNTIFS(Grunnspill!$A:$A,Annex!E487)</x:f>
        <x:v>0</x:v>
      </x:c>
      <x:c r="O487" t="n">
        <x:f>COUNTIFS(Grunnspill!$A:$A,Annex!F487)</x:f>
        <x:v>0</x:v>
      </x:c>
      <x:c r="P487" t="n">
        <x:f>COUNTIFS(Grunnspill!$A:$A,Annex!G487)</x:f>
        <x:v>0</x:v>
      </x:c>
      <x:c r="Q487" t="n">
        <x:f>COUNTIFS(Grunnspill!$A:$A,Annex!H487)</x:f>
        <x:v>0</x:v>
      </x:c>
      <x:c r="R487" t="n">
        <x:f>COUNTIFS(Grunnspill!$A:$A,Annex!I487)</x:f>
        <x:v>0</x:v>
      </x:c>
    </x:row>
    <x:row r="488">
      <x:c r="A488">
        <x:v>485</x:v>
      </x:c>
      <x:c r="B488" s="1" t="s">
        <x:v>121</x:v>
      </x:c>
      <x:c r="C488" s="1" t="s">
        <x:v>111</x:v>
      </x:c>
      <x:c r="D488" s="1" t="s">
        <x:v>124</x:v>
      </x:c>
      <x:c r="E488" s="1" t="s">
        <x:v>120</x:v>
      </x:c>
      <x:c r="F488" s="1" t="s">
        <x:v>125</x:v>
      </x:c>
      <x:c r="G488" s="1" t="s">
        <x:v>114</x:v>
      </x:c>
      <x:c r="H488" s="1" t="s">
        <x:v>113</x:v>
      </x:c>
      <x:c r="I488" s="1" t="s">
        <x:v>118</x:v>
      </x:c>
      <x:c r="J488">
        <x:f t="shared" si="9"/>
        <x:v>0</x:v>
      </x:c>
      <x:c r="K488" t="n">
        <x:f>COUNTIFS(Grunnspill!$A:$A,Annex!B488)</x:f>
        <x:v>0</x:v>
      </x:c>
      <x:c r="L488" t="n">
        <x:f>COUNTIFS(Grunnspill!$A:$A,Annex!C488)</x:f>
        <x:v>0</x:v>
      </x:c>
      <x:c r="M488" t="n">
        <x:f>COUNTIFS(Grunnspill!$A:$A,Annex!D488)</x:f>
        <x:v>0</x:v>
      </x:c>
      <x:c r="N488" t="n">
        <x:f>COUNTIFS(Grunnspill!$A:$A,Annex!E488)</x:f>
        <x:v>0</x:v>
      </x:c>
      <x:c r="O488" t="n">
        <x:f>COUNTIFS(Grunnspill!$A:$A,Annex!F488)</x:f>
        <x:v>0</x:v>
      </x:c>
      <x:c r="P488" t="n">
        <x:f>COUNTIFS(Grunnspill!$A:$A,Annex!G488)</x:f>
        <x:v>0</x:v>
      </x:c>
      <x:c r="Q488" t="n">
        <x:f>COUNTIFS(Grunnspill!$A:$A,Annex!H488)</x:f>
        <x:v>0</x:v>
      </x:c>
      <x:c r="R488" t="n">
        <x:f>COUNTIFS(Grunnspill!$A:$A,Annex!I488)</x:f>
        <x:v>0</x:v>
      </x:c>
    </x:row>
    <x:row r="489">
      <x:c r="A489">
        <x:v>486</x:v>
      </x:c>
      <x:c r="B489" s="1" t="s">
        <x:v>121</x:v>
      </x:c>
      <x:c r="C489" s="1" t="s">
        <x:v>112</x:v>
      </x:c>
      <x:c r="D489" s="1" t="s">
        <x:v>124</x:v>
      </x:c>
      <x:c r="E489" s="1" t="s">
        <x:v>120</x:v>
      </x:c>
      <x:c r="F489" s="1" t="s">
        <x:v>125</x:v>
      </x:c>
      <x:c r="G489" s="1" t="s">
        <x:v>114</x:v>
      </x:c>
      <x:c r="H489" s="1" t="s">
        <x:v>111</x:v>
      </x:c>
      <x:c r="I489" s="1" t="s">
        <x:v>113</x:v>
      </x:c>
      <x:c r="J489">
        <x:f t="shared" si="9"/>
        <x:v>0</x:v>
      </x:c>
      <x:c r="K489" t="n">
        <x:f>COUNTIFS(Grunnspill!$A:$A,Annex!B489)</x:f>
        <x:v>0</x:v>
      </x:c>
      <x:c r="L489" t="n">
        <x:f>COUNTIFS(Grunnspill!$A:$A,Annex!C489)</x:f>
        <x:v>0</x:v>
      </x:c>
      <x:c r="M489" t="n">
        <x:f>COUNTIFS(Grunnspill!$A:$A,Annex!D489)</x:f>
        <x:v>0</x:v>
      </x:c>
      <x:c r="N489" t="n">
        <x:f>COUNTIFS(Grunnspill!$A:$A,Annex!E489)</x:f>
        <x:v>0</x:v>
      </x:c>
      <x:c r="O489" t="n">
        <x:f>COUNTIFS(Grunnspill!$A:$A,Annex!F489)</x:f>
        <x:v>0</x:v>
      </x:c>
      <x:c r="P489" t="n">
        <x:f>COUNTIFS(Grunnspill!$A:$A,Annex!G489)</x:f>
        <x:v>0</x:v>
      </x:c>
      <x:c r="Q489" t="n">
        <x:f>COUNTIFS(Grunnspill!$A:$A,Annex!H489)</x:f>
        <x:v>0</x:v>
      </x:c>
      <x:c r="R489" t="n">
        <x:f>COUNTIFS(Grunnspill!$A:$A,Annex!I489)</x:f>
        <x:v>0</x:v>
      </x:c>
    </x:row>
    <x:row r="490">
      <x:c r="A490">
        <x:v>487</x:v>
      </x:c>
      <x:c r="B490" s="1" t="s">
        <x:v>115</x:v>
      </x:c>
      <x:c r="C490" s="1" t="s">
        <x:v>114</x:v>
      </x:c>
      <x:c r="D490" s="1" t="s">
        <x:v>124</x:v>
      </x:c>
      <x:c r="E490" s="1" t="s">
        <x:v>121</x:v>
      </x:c>
      <x:c r="F490" s="1" t="s">
        <x:v>125</x:v>
      </x:c>
      <x:c r="G490" s="1" t="s">
        <x:v>120</x:v>
      </x:c>
      <x:c r="H490" s="1" t="s">
        <x:v>117</x:v>
      </x:c>
      <x:c r="I490" s="1" t="s">
        <x:v>111</x:v>
      </x:c>
      <x:c r="J490">
        <x:f t="shared" si="9"/>
        <x:v>0</x:v>
      </x:c>
      <x:c r="K490" t="n">
        <x:f>COUNTIFS(Grunnspill!$A:$A,Annex!B490)</x:f>
        <x:v>0</x:v>
      </x:c>
      <x:c r="L490" t="n">
        <x:f>COUNTIFS(Grunnspill!$A:$A,Annex!C490)</x:f>
        <x:v>0</x:v>
      </x:c>
      <x:c r="M490" t="n">
        <x:f>COUNTIFS(Grunnspill!$A:$A,Annex!D490)</x:f>
        <x:v>0</x:v>
      </x:c>
      <x:c r="N490" t="n">
        <x:f>COUNTIFS(Grunnspill!$A:$A,Annex!E490)</x:f>
        <x:v>0</x:v>
      </x:c>
      <x:c r="O490" t="n">
        <x:f>COUNTIFS(Grunnspill!$A:$A,Annex!F490)</x:f>
        <x:v>0</x:v>
      </x:c>
      <x:c r="P490" t="n">
        <x:f>COUNTIFS(Grunnspill!$A:$A,Annex!G490)</x:f>
        <x:v>0</x:v>
      </x:c>
      <x:c r="Q490" t="n">
        <x:f>COUNTIFS(Grunnspill!$A:$A,Annex!H490)</x:f>
        <x:v>0</x:v>
      </x:c>
      <x:c r="R490" t="n">
        <x:f>COUNTIFS(Grunnspill!$A:$A,Annex!I490)</x:f>
        <x:v>0</x:v>
      </x:c>
    </x:row>
    <x:row r="491">
      <x:c r="A491">
        <x:v>488</x:v>
      </x:c>
      <x:c r="B491" s="1" t="s">
        <x:v>115</x:v>
      </x:c>
      <x:c r="C491" s="1" t="s">
        <x:v>111</x:v>
      </x:c>
      <x:c r="D491" s="1" t="s">
        <x:v>124</x:v>
      </x:c>
      <x:c r="E491" s="1" t="s">
        <x:v>121</x:v>
      </x:c>
      <x:c r="F491" s="1" t="s">
        <x:v>125</x:v>
      </x:c>
      <x:c r="G491" s="1" t="s">
        <x:v>114</x:v>
      </x:c>
      <x:c r="H491" s="1" t="s">
        <x:v>120</x:v>
      </x:c>
      <x:c r="I491" s="1" t="s">
        <x:v>118</x:v>
      </x:c>
      <x:c r="J491">
        <x:f t="shared" si="9"/>
        <x:v>0</x:v>
      </x:c>
      <x:c r="K491" t="n">
        <x:f>COUNTIFS(Grunnspill!$A:$A,Annex!B491)</x:f>
        <x:v>0</x:v>
      </x:c>
      <x:c r="L491" t="n">
        <x:f>COUNTIFS(Grunnspill!$A:$A,Annex!C491)</x:f>
        <x:v>0</x:v>
      </x:c>
      <x:c r="M491" t="n">
        <x:f>COUNTIFS(Grunnspill!$A:$A,Annex!D491)</x:f>
        <x:v>0</x:v>
      </x:c>
      <x:c r="N491" t="n">
        <x:f>COUNTIFS(Grunnspill!$A:$A,Annex!E491)</x:f>
        <x:v>0</x:v>
      </x:c>
      <x:c r="O491" t="n">
        <x:f>COUNTIFS(Grunnspill!$A:$A,Annex!F491)</x:f>
        <x:v>0</x:v>
      </x:c>
      <x:c r="P491" t="n">
        <x:f>COUNTIFS(Grunnspill!$A:$A,Annex!G491)</x:f>
        <x:v>0</x:v>
      </x:c>
      <x:c r="Q491" t="n">
        <x:f>COUNTIFS(Grunnspill!$A:$A,Annex!H491)</x:f>
        <x:v>0</x:v>
      </x:c>
      <x:c r="R491" t="n">
        <x:f>COUNTIFS(Grunnspill!$A:$A,Annex!I491)</x:f>
        <x:v>0</x:v>
      </x:c>
    </x:row>
    <x:row r="492">
      <x:c r="A492">
        <x:v>489</x:v>
      </x:c>
      <x:c r="B492" s="1" t="s">
        <x:v>115</x:v>
      </x:c>
      <x:c r="C492" s="1" t="s">
        <x:v>112</x:v>
      </x:c>
      <x:c r="D492" s="1" t="s">
        <x:v>124</x:v>
      </x:c>
      <x:c r="E492" s="1" t="s">
        <x:v>121</x:v>
      </x:c>
      <x:c r="F492" s="1" t="s">
        <x:v>125</x:v>
      </x:c>
      <x:c r="G492" s="1" t="s">
        <x:v>114</x:v>
      </x:c>
      <x:c r="H492" s="1" t="s">
        <x:v>120</x:v>
      </x:c>
      <x:c r="I492" s="1" t="s">
        <x:v>111</x:v>
      </x:c>
      <x:c r="J492">
        <x:f t="shared" si="9"/>
        <x:v>0</x:v>
      </x:c>
      <x:c r="K492" t="n">
        <x:f>COUNTIFS(Grunnspill!$A:$A,Annex!B492)</x:f>
        <x:v>0</x:v>
      </x:c>
      <x:c r="L492" t="n">
        <x:f>COUNTIFS(Grunnspill!$A:$A,Annex!C492)</x:f>
        <x:v>0</x:v>
      </x:c>
      <x:c r="M492" t="n">
        <x:f>COUNTIFS(Grunnspill!$A:$A,Annex!D492)</x:f>
        <x:v>0</x:v>
      </x:c>
      <x:c r="N492" t="n">
        <x:f>COUNTIFS(Grunnspill!$A:$A,Annex!E492)</x:f>
        <x:v>0</x:v>
      </x:c>
      <x:c r="O492" t="n">
        <x:f>COUNTIFS(Grunnspill!$A:$A,Annex!F492)</x:f>
        <x:v>0</x:v>
      </x:c>
      <x:c r="P492" t="n">
        <x:f>COUNTIFS(Grunnspill!$A:$A,Annex!G492)</x:f>
        <x:v>0</x:v>
      </x:c>
      <x:c r="Q492" t="n">
        <x:f>COUNTIFS(Grunnspill!$A:$A,Annex!H492)</x:f>
        <x:v>0</x:v>
      </x:c>
      <x:c r="R492" t="n">
        <x:f>COUNTIFS(Grunnspill!$A:$A,Annex!I492)</x:f>
        <x:v>0</x:v>
      </x:c>
    </x:row>
    <x:row r="493">
      <x:c r="A493">
        <x:v>490</x:v>
      </x:c>
      <x:c r="B493" s="1" t="s">
        <x:v>115</x:v>
      </x:c>
      <x:c r="C493" s="1" t="s">
        <x:v>111</x:v>
      </x:c>
      <x:c r="D493" s="1" t="s">
        <x:v>124</x:v>
      </x:c>
      <x:c r="E493" s="1" t="s">
        <x:v>121</x:v>
      </x:c>
      <x:c r="F493" s="1" t="s">
        <x:v>125</x:v>
      </x:c>
      <x:c r="G493" s="1" t="s">
        <x:v>114</x:v>
      </x:c>
      <x:c r="H493" s="1" t="s">
        <x:v>120</x:v>
      </x:c>
      <x:c r="I493" s="1" t="s">
        <x:v>113</x:v>
      </x:c>
      <x:c r="J493">
        <x:f t="shared" si="9"/>
        <x:v>0</x:v>
      </x:c>
      <x:c r="K493" t="n">
        <x:f>COUNTIFS(Grunnspill!$A:$A,Annex!B493)</x:f>
        <x:v>0</x:v>
      </x:c>
      <x:c r="L493" t="n">
        <x:f>COUNTIFS(Grunnspill!$A:$A,Annex!C493)</x:f>
        <x:v>0</x:v>
      </x:c>
      <x:c r="M493" t="n">
        <x:f>COUNTIFS(Grunnspill!$A:$A,Annex!D493)</x:f>
        <x:v>0</x:v>
      </x:c>
      <x:c r="N493" t="n">
        <x:f>COUNTIFS(Grunnspill!$A:$A,Annex!E493)</x:f>
        <x:v>0</x:v>
      </x:c>
      <x:c r="O493" t="n">
        <x:f>COUNTIFS(Grunnspill!$A:$A,Annex!F493)</x:f>
        <x:v>0</x:v>
      </x:c>
      <x:c r="P493" t="n">
        <x:f>COUNTIFS(Grunnspill!$A:$A,Annex!G493)</x:f>
        <x:v>0</x:v>
      </x:c>
      <x:c r="Q493" t="n">
        <x:f>COUNTIFS(Grunnspill!$A:$A,Annex!H493)</x:f>
        <x:v>0</x:v>
      </x:c>
      <x:c r="R493" t="n">
        <x:f>COUNTIFS(Grunnspill!$A:$A,Annex!I493)</x:f>
        <x:v>0</x:v>
      </x:c>
    </x:row>
    <x:row r="494">
      <x:c r="A494">
        <x:v>491</x:v>
      </x:c>
      <x:c r="B494" s="1" t="s">
        <x:v>121</x:v>
      </x:c>
      <x:c r="C494" s="1" t="s">
        <x:v>116</x:v>
      </x:c>
      <x:c r="D494" s="1" t="s">
        <x:v>124</x:v>
      </x:c>
      <x:c r="E494" s="1" t="s">
        <x:v>120</x:v>
      </x:c>
      <x:c r="F494" s="1" t="s">
        <x:v>125</x:v>
      </x:c>
      <x:c r="G494" s="1" t="s">
        <x:v>114</x:v>
      </x:c>
      <x:c r="H494" s="1" t="s">
        <x:v>117</x:v>
      </x:c>
      <x:c r="I494" s="1" t="s">
        <x:v>111</x:v>
      </x:c>
      <x:c r="J494">
        <x:f t="shared" si="9"/>
        <x:v>0</x:v>
      </x:c>
      <x:c r="K494" t="n">
        <x:f>COUNTIFS(Grunnspill!$A:$A,Annex!B494)</x:f>
        <x:v>0</x:v>
      </x:c>
      <x:c r="L494" t="n">
        <x:f>COUNTIFS(Grunnspill!$A:$A,Annex!C494)</x:f>
        <x:v>0</x:v>
      </x:c>
      <x:c r="M494" t="n">
        <x:f>COUNTIFS(Grunnspill!$A:$A,Annex!D494)</x:f>
        <x:v>0</x:v>
      </x:c>
      <x:c r="N494" t="n">
        <x:f>COUNTIFS(Grunnspill!$A:$A,Annex!E494)</x:f>
        <x:v>0</x:v>
      </x:c>
      <x:c r="O494" t="n">
        <x:f>COUNTIFS(Grunnspill!$A:$A,Annex!F494)</x:f>
        <x:v>0</x:v>
      </x:c>
      <x:c r="P494" t="n">
        <x:f>COUNTIFS(Grunnspill!$A:$A,Annex!G494)</x:f>
        <x:v>0</x:v>
      </x:c>
      <x:c r="Q494" t="n">
        <x:f>COUNTIFS(Grunnspill!$A:$A,Annex!H494)</x:f>
        <x:v>0</x:v>
      </x:c>
      <x:c r="R494" t="n">
        <x:f>COUNTIFS(Grunnspill!$A:$A,Annex!I494)</x:f>
        <x:v>0</x:v>
      </x:c>
    </x:row>
    <x:row r="495">
      <x:c r="A495">
        <x:v>492</x:v>
      </x:c>
      <x:c r="B495" s="1" t="s">
        <x:v>121</x:v>
      </x:c>
      <x:c r="C495" s="1" t="s">
        <x:v>116</x:v>
      </x:c>
      <x:c r="D495" s="1" t="s">
        <x:v>124</x:v>
      </x:c>
      <x:c r="E495" s="1" t="s">
        <x:v>120</x:v>
      </x:c>
      <x:c r="F495" s="1" t="s">
        <x:v>125</x:v>
      </x:c>
      <x:c r="G495" s="1" t="s">
        <x:v>114</x:v>
      </x:c>
      <x:c r="H495" s="1" t="s">
        <x:v>111</x:v>
      </x:c>
      <x:c r="I495" s="1" t="s">
        <x:v>118</x:v>
      </x:c>
      <x:c r="J495">
        <x:f t="shared" si="9"/>
        <x:v>0</x:v>
      </x:c>
      <x:c r="K495" t="n">
        <x:f>COUNTIFS(Grunnspill!$A:$A,Annex!B495)</x:f>
        <x:v>0</x:v>
      </x:c>
      <x:c r="L495" t="n">
        <x:f>COUNTIFS(Grunnspill!$A:$A,Annex!C495)</x:f>
        <x:v>0</x:v>
      </x:c>
      <x:c r="M495" t="n">
        <x:f>COUNTIFS(Grunnspill!$A:$A,Annex!D495)</x:f>
        <x:v>0</x:v>
      </x:c>
      <x:c r="N495" t="n">
        <x:f>COUNTIFS(Grunnspill!$A:$A,Annex!E495)</x:f>
        <x:v>0</x:v>
      </x:c>
      <x:c r="O495" t="n">
        <x:f>COUNTIFS(Grunnspill!$A:$A,Annex!F495)</x:f>
        <x:v>0</x:v>
      </x:c>
      <x:c r="P495" t="n">
        <x:f>COUNTIFS(Grunnspill!$A:$A,Annex!G495)</x:f>
        <x:v>0</x:v>
      </x:c>
      <x:c r="Q495" t="n">
        <x:f>COUNTIFS(Grunnspill!$A:$A,Annex!H495)</x:f>
        <x:v>0</x:v>
      </x:c>
      <x:c r="R495" t="n">
        <x:f>COUNTIFS(Grunnspill!$A:$A,Annex!I495)</x:f>
        <x:v>0</x:v>
      </x:c>
    </x:row>
    <x:row r="496">
      <x:c r="A496">
        <x:v>493</x:v>
      </x:c>
      <x:c r="B496" s="1" t="s">
        <x:v>121</x:v>
      </x:c>
      <x:c r="C496" s="1" t="s">
        <x:v>116</x:v>
      </x:c>
      <x:c r="D496" s="1" t="s">
        <x:v>124</x:v>
      </x:c>
      <x:c r="E496" s="1" t="s">
        <x:v>120</x:v>
      </x:c>
      <x:c r="F496" s="1" t="s">
        <x:v>125</x:v>
      </x:c>
      <x:c r="G496" s="1" t="s">
        <x:v>114</x:v>
      </x:c>
      <x:c r="H496" s="1" t="s">
        <x:v>111</x:v>
      </x:c>
      <x:c r="I496" s="1" t="s">
        <x:v>112</x:v>
      </x:c>
      <x:c r="J496">
        <x:f t="shared" si="9"/>
        <x:v>0</x:v>
      </x:c>
      <x:c r="K496" t="n">
        <x:f>COUNTIFS(Grunnspill!$A:$A,Annex!B496)</x:f>
        <x:v>0</x:v>
      </x:c>
      <x:c r="L496" t="n">
        <x:f>COUNTIFS(Grunnspill!$A:$A,Annex!C496)</x:f>
        <x:v>0</x:v>
      </x:c>
      <x:c r="M496" t="n">
        <x:f>COUNTIFS(Grunnspill!$A:$A,Annex!D496)</x:f>
        <x:v>0</x:v>
      </x:c>
      <x:c r="N496" t="n">
        <x:f>COUNTIFS(Grunnspill!$A:$A,Annex!E496)</x:f>
        <x:v>0</x:v>
      </x:c>
      <x:c r="O496" t="n">
        <x:f>COUNTIFS(Grunnspill!$A:$A,Annex!F496)</x:f>
        <x:v>0</x:v>
      </x:c>
      <x:c r="P496" t="n">
        <x:f>COUNTIFS(Grunnspill!$A:$A,Annex!G496)</x:f>
        <x:v>0</x:v>
      </x:c>
      <x:c r="Q496" t="n">
        <x:f>COUNTIFS(Grunnspill!$A:$A,Annex!H496)</x:f>
        <x:v>0</x:v>
      </x:c>
      <x:c r="R496" t="n">
        <x:f>COUNTIFS(Grunnspill!$A:$A,Annex!I496)</x:f>
        <x:v>0</x:v>
      </x:c>
    </x:row>
    <x:row r="497">
      <x:c r="A497">
        <x:v>494</x:v>
      </x:c>
      <x:c r="B497" s="1" t="s">
        <x:v>121</x:v>
      </x:c>
      <x:c r="C497" s="1" t="s">
        <x:v>116</x:v>
      </x:c>
      <x:c r="D497" s="1" t="s">
        <x:v>124</x:v>
      </x:c>
      <x:c r="E497" s="1" t="s">
        <x:v>120</x:v>
      </x:c>
      <x:c r="F497" s="1" t="s">
        <x:v>125</x:v>
      </x:c>
      <x:c r="G497" s="1" t="s">
        <x:v>114</x:v>
      </x:c>
      <x:c r="H497" s="1" t="s">
        <x:v>111</x:v>
      </x:c>
      <x:c r="I497" s="1" t="s">
        <x:v>113</x:v>
      </x:c>
      <x:c r="J497">
        <x:f t="shared" si="9"/>
        <x:v>0</x:v>
      </x:c>
      <x:c r="K497" t="n">
        <x:f>COUNTIFS(Grunnspill!$A:$A,Annex!B497)</x:f>
        <x:v>0</x:v>
      </x:c>
      <x:c r="L497" t="n">
        <x:f>COUNTIFS(Grunnspill!$A:$A,Annex!C497)</x:f>
        <x:v>0</x:v>
      </x:c>
      <x:c r="M497" t="n">
        <x:f>COUNTIFS(Grunnspill!$A:$A,Annex!D497)</x:f>
        <x:v>0</x:v>
      </x:c>
      <x:c r="N497" t="n">
        <x:f>COUNTIFS(Grunnspill!$A:$A,Annex!E497)</x:f>
        <x:v>0</x:v>
      </x:c>
      <x:c r="O497" t="n">
        <x:f>COUNTIFS(Grunnspill!$A:$A,Annex!F497)</x:f>
        <x:v>0</x:v>
      </x:c>
      <x:c r="P497" t="n">
        <x:f>COUNTIFS(Grunnspill!$A:$A,Annex!G497)</x:f>
        <x:v>0</x:v>
      </x:c>
      <x:c r="Q497" t="n">
        <x:f>COUNTIFS(Grunnspill!$A:$A,Annex!H497)</x:f>
        <x:v>0</x:v>
      </x:c>
      <x:c r="R497" t="n">
        <x:f>COUNTIFS(Grunnspill!$A:$A,Annex!I497)</x:f>
        <x:v>0</x:v>
      </x:c>
    </x:row>
    <x:row r="498">
      <x:c r="A498">
        <x:v>495</x:v>
      </x:c>
      <x:c r="B498" s="1" t="s">
        <x:v>115</x:v>
      </x:c>
      <x:c r="C498" s="1" t="s">
        <x:v>116</x:v>
      </x:c>
      <x:c r="D498" s="1" t="s">
        <x:v>124</x:v>
      </x:c>
      <x:c r="E498" s="1" t="s">
        <x:v>121</x:v>
      </x:c>
      <x:c r="F498" s="1" t="s">
        <x:v>125</x:v>
      </x:c>
      <x:c r="G498" s="1" t="s">
        <x:v>114</x:v>
      </x:c>
      <x:c r="H498" s="1" t="s">
        <x:v>120</x:v>
      </x:c>
      <x:c r="I498" s="1" t="s">
        <x:v>111</x:v>
      </x:c>
      <x:c r="J498">
        <x:f t="shared" si="9"/>
        <x:v>0</x:v>
      </x:c>
      <x:c r="K498" t="n">
        <x:f>COUNTIFS(Grunnspill!$A:$A,Annex!B498)</x:f>
        <x:v>0</x:v>
      </x:c>
      <x:c r="L498" t="n">
        <x:f>COUNTIFS(Grunnspill!$A:$A,Annex!C498)</x:f>
        <x:v>0</x:v>
      </x:c>
      <x:c r="M498" t="n">
        <x:f>COUNTIFS(Grunnspill!$A:$A,Annex!D498)</x:f>
        <x:v>0</x:v>
      </x:c>
      <x:c r="N498" t="n">
        <x:f>COUNTIFS(Grunnspill!$A:$A,Annex!E498)</x:f>
        <x:v>0</x:v>
      </x:c>
      <x:c r="O498" t="n">
        <x:f>COUNTIFS(Grunnspill!$A:$A,Annex!F498)</x:f>
        <x:v>0</x:v>
      </x:c>
      <x:c r="P498" t="n">
        <x:f>COUNTIFS(Grunnspill!$A:$A,Annex!G498)</x:f>
        <x:v>0</x:v>
      </x:c>
      <x:c r="Q498" t="n">
        <x:f>COUNTIFS(Grunnspill!$A:$A,Annex!H498)</x:f>
        <x:v>0</x:v>
      </x:c>
      <x:c r="R498" t="n">
        <x:f>COUNTIFS(Grunnspill!$A:$A,Annex!I498)</x:f>
        <x:v>0</x:v>
      </x:c>
    </x:row>
  </x:sheetData>
  <x:conditionalFormatting sqref="A4:R498">
    <x:cfRule type="expression" dxfId="0" priority="2">
      <x:formula>$J4=8</x:formula>
    </x:cfRule>
  </x:conditionalFormatting>
  <x:conditionalFormatting sqref="J4:J498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T7:AA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