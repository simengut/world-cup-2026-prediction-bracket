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enguttormsen/Downloads/"/>
    </mc:Choice>
  </mc:AlternateContent>
  <xr:revisionPtr revIDLastSave="0" documentId="13_ncr:1_{0039A30C-7A16-E84A-8E7B-2169ED4126B9}" xr6:coauthVersionLast="47" xr6:coauthVersionMax="47" xr10:uidLastSave="{00000000-0000-0000-0000-000000000000}"/>
  <bookViews>
    <workbookView xWindow="0" yWindow="660" windowWidth="25300" windowHeight="16780" xr2:uid="{9DDC8A3F-2631-4329-A326-9E7DCA8D72E5}"/>
  </bookViews>
  <sheets>
    <sheet name="Grunnspill" sheetId="1" r:id="rId1"/>
    <sheet name="16f" sheetId="2" r:id="rId2"/>
    <sheet name="8f" sheetId="4" r:id="rId3"/>
    <sheet name="4f" sheetId="5" r:id="rId4"/>
    <sheet name="2f" sheetId="6" r:id="rId5"/>
    <sheet name="Finale" sheetId="7" r:id="rId6"/>
    <sheet name="Annex" sheetId="3" r:id="rId7"/>
  </sheets>
  <definedNames>
    <definedName name="_xlnm._FilterDatabase" localSheetId="6" hidden="1">Annex!$A$4:$R$498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8" i="3" l="1" a="1"/>
  <c r="AA8" i="3" s="1"/>
  <c r="Z8" i="3" a="1"/>
  <c r="Z8" i="3" s="1"/>
  <c r="X8" i="3" a="1"/>
  <c r="X8" i="3" s="1"/>
  <c r="V8" i="3" a="1"/>
  <c r="V8" i="3" s="1"/>
  <c r="U8" i="3" a="1"/>
  <c r="U8" i="3" s="1"/>
  <c r="T8" i="3" a="1"/>
  <c r="T8" i="3" s="1"/>
  <c r="T6" i="3" a="1"/>
  <c r="T6" i="3" s="1"/>
  <c r="AA7" i="3"/>
  <c r="Z7" i="3"/>
  <c r="Y7" i="3"/>
  <c r="X7" i="3"/>
  <c r="W7" i="3"/>
  <c r="V7" i="3"/>
  <c r="U7" i="3"/>
  <c r="T7" i="3"/>
  <c r="L3" i="1" l="1"/>
  <c r="I48" i="1" a="1"/>
  <c r="I48" i="1" s="1"/>
  <c r="I40" i="1" a="1"/>
  <c r="I40" i="1" s="1"/>
  <c r="I32" i="1" a="1"/>
  <c r="I32" i="1" s="1"/>
  <c r="I24" i="1" a="1"/>
  <c r="I24" i="1" s="1"/>
  <c r="I16" i="1" a="1"/>
  <c r="I16" i="1" s="1"/>
  <c r="I44" i="1" a="1"/>
  <c r="I44" i="1" s="1"/>
  <c r="I36" i="1" a="1"/>
  <c r="I36" i="1" s="1"/>
  <c r="I28" i="1" a="1"/>
  <c r="I28" i="1" s="1"/>
  <c r="I20" i="1" a="1"/>
  <c r="I20" i="1" s="1"/>
  <c r="I12" i="1" a="1"/>
  <c r="I12" i="1" s="1"/>
  <c r="I8" i="1" l="1" a="1"/>
  <c r="I8" i="1" s="1"/>
  <c r="C48" i="1"/>
  <c r="C44" i="1"/>
  <c r="C40" i="1"/>
  <c r="C36" i="1"/>
  <c r="C32" i="1"/>
  <c r="C28" i="1"/>
  <c r="C24" i="1"/>
  <c r="C20" i="1"/>
  <c r="C16" i="1"/>
  <c r="C12" i="1"/>
  <c r="C8" i="1"/>
  <c r="C4" i="1"/>
  <c r="H48" i="1"/>
  <c r="H44" i="1"/>
  <c r="H40" i="1"/>
  <c r="H36" i="1"/>
  <c r="H32" i="1"/>
  <c r="H28" i="1"/>
  <c r="H24" i="1"/>
  <c r="H20" i="1"/>
  <c r="H16" i="1"/>
  <c r="H12" i="1"/>
  <c r="H8" i="1"/>
  <c r="H4" i="1"/>
  <c r="I4" i="1" a="1"/>
  <c r="I4" i="1" s="1"/>
  <c r="G5" i="1"/>
  <c r="K5" i="1" s="1"/>
  <c r="G6" i="1"/>
  <c r="K6" i="1" s="1"/>
  <c r="G7" i="1"/>
  <c r="K7" i="1" s="1"/>
  <c r="G8" i="1"/>
  <c r="K8" i="1" s="1"/>
  <c r="G9" i="1"/>
  <c r="K9" i="1" s="1"/>
  <c r="G10" i="1"/>
  <c r="K10" i="1" s="1"/>
  <c r="G11" i="1"/>
  <c r="K11" i="1" s="1"/>
  <c r="G12" i="1"/>
  <c r="K12" i="1" s="1"/>
  <c r="G13" i="1"/>
  <c r="K13" i="1" s="1"/>
  <c r="G14" i="1"/>
  <c r="K14" i="1" s="1"/>
  <c r="G15" i="1"/>
  <c r="K15" i="1" s="1"/>
  <c r="G16" i="1"/>
  <c r="K16" i="1" s="1"/>
  <c r="G17" i="1"/>
  <c r="K17" i="1" s="1"/>
  <c r="G18" i="1"/>
  <c r="K18" i="1" s="1"/>
  <c r="G19" i="1"/>
  <c r="K19" i="1" s="1"/>
  <c r="G20" i="1"/>
  <c r="K20" i="1" s="1"/>
  <c r="G21" i="1"/>
  <c r="K21" i="1" s="1"/>
  <c r="G22" i="1"/>
  <c r="K22" i="1" s="1"/>
  <c r="G23" i="1"/>
  <c r="K23" i="1" s="1"/>
  <c r="G24" i="1"/>
  <c r="K24" i="1" s="1"/>
  <c r="G25" i="1"/>
  <c r="K25" i="1" s="1"/>
  <c r="G26" i="1"/>
  <c r="K26" i="1" s="1"/>
  <c r="G27" i="1"/>
  <c r="K27" i="1" s="1"/>
  <c r="G28" i="1"/>
  <c r="K28" i="1" s="1"/>
  <c r="G29" i="1"/>
  <c r="K29" i="1" s="1"/>
  <c r="G30" i="1"/>
  <c r="K30" i="1" s="1"/>
  <c r="G31" i="1"/>
  <c r="K31" i="1" s="1"/>
  <c r="G32" i="1"/>
  <c r="K32" i="1" s="1"/>
  <c r="G33" i="1"/>
  <c r="K33" i="1" s="1"/>
  <c r="G34" i="1"/>
  <c r="K34" i="1" s="1"/>
  <c r="G35" i="1"/>
  <c r="K35" i="1" s="1"/>
  <c r="G36" i="1"/>
  <c r="K36" i="1" s="1"/>
  <c r="G37" i="1"/>
  <c r="K37" i="1" s="1"/>
  <c r="G38" i="1"/>
  <c r="K38" i="1" s="1"/>
  <c r="G39" i="1"/>
  <c r="K39" i="1" s="1"/>
  <c r="G40" i="1"/>
  <c r="K40" i="1" s="1"/>
  <c r="G41" i="1"/>
  <c r="K41" i="1" s="1"/>
  <c r="G42" i="1"/>
  <c r="K42" i="1" s="1"/>
  <c r="G43" i="1"/>
  <c r="K43" i="1" s="1"/>
  <c r="G44" i="1"/>
  <c r="K44" i="1" s="1"/>
  <c r="G45" i="1"/>
  <c r="K45" i="1" s="1"/>
  <c r="G46" i="1"/>
  <c r="K46" i="1" s="1"/>
  <c r="G47" i="1"/>
  <c r="K47" i="1" s="1"/>
  <c r="G48" i="1"/>
  <c r="K48" i="1" s="1"/>
  <c r="G49" i="1"/>
  <c r="K49" i="1" s="1"/>
  <c r="G50" i="1"/>
  <c r="K50" i="1" s="1"/>
  <c r="G51" i="1"/>
  <c r="K51" i="1" s="1"/>
  <c r="G4" i="1"/>
  <c r="K4" i="1" s="1"/>
  <c r="B2" i="7" a="1"/>
  <c r="B2" i="7" s="1"/>
  <c r="B2" i="6" a="1"/>
  <c r="B2" i="6" s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M3" i="1"/>
  <c r="L2" i="1"/>
  <c r="M2" i="1" s="1"/>
  <c r="L1" i="1"/>
  <c r="M1" i="1" s="1"/>
  <c r="D2" i="2" l="1" a="1"/>
  <c r="D2" i="2" s="1"/>
  <c r="M11" i="3"/>
  <c r="M448" i="3"/>
  <c r="L18" i="3"/>
  <c r="Q15" i="3"/>
  <c r="O13" i="3"/>
  <c r="O479" i="3"/>
  <c r="P488" i="3"/>
  <c r="L139" i="3"/>
  <c r="N470" i="3"/>
  <c r="L460" i="3"/>
  <c r="P353" i="3"/>
  <c r="L6" i="3"/>
  <c r="L401" i="3"/>
  <c r="R431" i="3"/>
  <c r="P496" i="3"/>
  <c r="M341" i="3"/>
  <c r="R8" i="3"/>
  <c r="N20" i="3"/>
  <c r="M20" i="3"/>
  <c r="P15" i="3"/>
  <c r="O5" i="3"/>
  <c r="L496" i="3"/>
  <c r="Q458" i="3"/>
  <c r="R395" i="3"/>
  <c r="Q19" i="3"/>
  <c r="R12" i="3"/>
  <c r="N8" i="3"/>
  <c r="M477" i="3"/>
  <c r="N457" i="3"/>
  <c r="O390" i="3"/>
  <c r="R4" i="3"/>
  <c r="P19" i="3"/>
  <c r="N17" i="3"/>
  <c r="Q12" i="3"/>
  <c r="Q7" i="3"/>
  <c r="M485" i="3"/>
  <c r="L456" i="3"/>
  <c r="M384" i="3"/>
  <c r="O21" i="3"/>
  <c r="N12" i="3"/>
  <c r="L10" i="3"/>
  <c r="L484" i="3"/>
  <c r="N465" i="3"/>
  <c r="O441" i="3"/>
  <c r="O418" i="3"/>
  <c r="K377" i="3"/>
  <c r="K275" i="3"/>
  <c r="L11" i="3"/>
  <c r="O487" i="3"/>
  <c r="P446" i="3"/>
  <c r="M15" i="3"/>
  <c r="N486" i="3"/>
  <c r="L445" i="3"/>
  <c r="L4" i="3"/>
  <c r="O10" i="3"/>
  <c r="L476" i="3"/>
  <c r="N422" i="3"/>
  <c r="P14" i="3"/>
  <c r="M493" i="3"/>
  <c r="P454" i="3"/>
  <c r="N21" i="3"/>
  <c r="L19" i="3"/>
  <c r="Q16" i="3"/>
  <c r="O14" i="3"/>
  <c r="M12" i="3"/>
  <c r="R9" i="3"/>
  <c r="M7" i="3"/>
  <c r="M498" i="3"/>
  <c r="L492" i="3"/>
  <c r="R482" i="3"/>
  <c r="Q473" i="3"/>
  <c r="L464" i="3"/>
  <c r="L453" i="3"/>
  <c r="R439" i="3"/>
  <c r="Q414" i="3"/>
  <c r="P369" i="3"/>
  <c r="M246" i="3"/>
  <c r="R17" i="3"/>
  <c r="Q8" i="3"/>
  <c r="M469" i="3"/>
  <c r="N329" i="3"/>
  <c r="O17" i="3"/>
  <c r="N5" i="3"/>
  <c r="L468" i="3"/>
  <c r="N316" i="3"/>
  <c r="R498" i="3"/>
  <c r="Q466" i="3"/>
  <c r="N297" i="3"/>
  <c r="R16" i="3"/>
  <c r="P7" i="3"/>
  <c r="R474" i="3"/>
  <c r="R20" i="3"/>
  <c r="P18" i="3"/>
  <c r="N16" i="3"/>
  <c r="L14" i="3"/>
  <c r="Q11" i="3"/>
  <c r="O9" i="3"/>
  <c r="P6" i="3"/>
  <c r="Q497" i="3"/>
  <c r="R490" i="3"/>
  <c r="Q481" i="3"/>
  <c r="P472" i="3"/>
  <c r="Q462" i="3"/>
  <c r="N451" i="3"/>
  <c r="L437" i="3"/>
  <c r="Q411" i="3"/>
  <c r="N362" i="3"/>
  <c r="N205" i="3"/>
  <c r="N13" i="3"/>
  <c r="N478" i="3"/>
  <c r="L429" i="3"/>
  <c r="P10" i="3"/>
  <c r="O495" i="3"/>
  <c r="N425" i="3"/>
  <c r="R21" i="3"/>
  <c r="L15" i="3"/>
  <c r="N494" i="3"/>
  <c r="N443" i="3"/>
  <c r="M19" i="3"/>
  <c r="N498" i="3"/>
  <c r="Q20" i="3"/>
  <c r="O18" i="3"/>
  <c r="M16" i="3"/>
  <c r="R13" i="3"/>
  <c r="P11" i="3"/>
  <c r="N9" i="3"/>
  <c r="O6" i="3"/>
  <c r="M497" i="3"/>
  <c r="Q489" i="3"/>
  <c r="P480" i="3"/>
  <c r="O471" i="3"/>
  <c r="N461" i="3"/>
  <c r="Q449" i="3"/>
  <c r="O434" i="3"/>
  <c r="O406" i="3"/>
  <c r="R5" i="3"/>
  <c r="N495" i="3"/>
  <c r="Q490" i="3"/>
  <c r="M486" i="3"/>
  <c r="P481" i="3"/>
  <c r="L477" i="3"/>
  <c r="O472" i="3"/>
  <c r="R467" i="3"/>
  <c r="P462" i="3"/>
  <c r="M457" i="3"/>
  <c r="M451" i="3"/>
  <c r="Q444" i="3"/>
  <c r="Q431" i="3"/>
  <c r="N418" i="3"/>
  <c r="K400" i="3"/>
  <c r="L368" i="3"/>
  <c r="L351" i="3"/>
  <c r="K313" i="3"/>
  <c r="M293" i="3"/>
  <c r="K269" i="3"/>
  <c r="K239" i="3"/>
  <c r="P194" i="3"/>
  <c r="Q498" i="3"/>
  <c r="M494" i="3"/>
  <c r="P489" i="3"/>
  <c r="L485" i="3"/>
  <c r="N479" i="3"/>
  <c r="Q474" i="3"/>
  <c r="M470" i="3"/>
  <c r="M465" i="3"/>
  <c r="R459" i="3"/>
  <c r="N454" i="3"/>
  <c r="L448" i="3"/>
  <c r="M443" i="3"/>
  <c r="K437" i="3"/>
  <c r="L425" i="3"/>
  <c r="O414" i="3"/>
  <c r="Q394" i="3"/>
  <c r="N375" i="3"/>
  <c r="R338" i="3"/>
  <c r="P20" i="3"/>
  <c r="M17" i="3"/>
  <c r="Q13" i="3"/>
  <c r="N10" i="3"/>
  <c r="R6" i="3"/>
  <c r="O497" i="3"/>
  <c r="L494" i="3"/>
  <c r="P490" i="3"/>
  <c r="M487" i="3"/>
  <c r="Q483" i="3"/>
  <c r="M479" i="3"/>
  <c r="Q475" i="3"/>
  <c r="N472" i="3"/>
  <c r="R468" i="3"/>
  <c r="N466" i="3"/>
  <c r="L465" i="3"/>
  <c r="Q463" i="3"/>
  <c r="N462" i="3"/>
  <c r="L461" i="3"/>
  <c r="Q459" i="3"/>
  <c r="N458" i="3"/>
  <c r="L457" i="3"/>
  <c r="Q455" i="3"/>
  <c r="M454" i="3"/>
  <c r="P452" i="3"/>
  <c r="L451" i="3"/>
  <c r="N449" i="3"/>
  <c r="Q447" i="3"/>
  <c r="M446" i="3"/>
  <c r="P444" i="3"/>
  <c r="L443" i="3"/>
  <c r="L441" i="3"/>
  <c r="L439" i="3"/>
  <c r="O436" i="3"/>
  <c r="R433" i="3"/>
  <c r="L431" i="3"/>
  <c r="K428" i="3"/>
  <c r="K425" i="3"/>
  <c r="L421" i="3"/>
  <c r="N417" i="3"/>
  <c r="N414" i="3"/>
  <c r="O410" i="3"/>
  <c r="L405" i="3"/>
  <c r="R399" i="3"/>
  <c r="O394" i="3"/>
  <c r="L389" i="3"/>
  <c r="N382" i="3"/>
  <c r="L375" i="3"/>
  <c r="R367" i="3"/>
  <c r="O360" i="3"/>
  <c r="N350" i="3"/>
  <c r="O338" i="3"/>
  <c r="M326" i="3"/>
  <c r="K312" i="3"/>
  <c r="K293" i="3"/>
  <c r="P268" i="3"/>
  <c r="L237" i="3"/>
  <c r="L193" i="3"/>
  <c r="M8" i="3"/>
  <c r="L7" i="3"/>
  <c r="P497" i="3"/>
  <c r="O496" i="3"/>
  <c r="L493" i="3"/>
  <c r="R491" i="3"/>
  <c r="O488" i="3"/>
  <c r="N487" i="3"/>
  <c r="R483" i="3"/>
  <c r="Q482" i="3"/>
  <c r="O480" i="3"/>
  <c r="M478" i="3"/>
  <c r="R475" i="3"/>
  <c r="P473" i="3"/>
  <c r="N471" i="3"/>
  <c r="L469" i="3"/>
  <c r="P466" i="3"/>
  <c r="R463" i="3"/>
  <c r="M461" i="3"/>
  <c r="P458" i="3"/>
  <c r="R455" i="3"/>
  <c r="Q452" i="3"/>
  <c r="P449" i="3"/>
  <c r="N446" i="3"/>
  <c r="N441" i="3"/>
  <c r="Q439" i="3"/>
  <c r="N434" i="3"/>
  <c r="K429" i="3"/>
  <c r="N421" i="3"/>
  <c r="Q410" i="3"/>
  <c r="N405" i="3"/>
  <c r="N389" i="3"/>
  <c r="P382" i="3"/>
  <c r="P360" i="3"/>
  <c r="N326" i="3"/>
  <c r="Q4" i="3"/>
  <c r="Q21" i="3"/>
  <c r="O19" i="3"/>
  <c r="N18" i="3"/>
  <c r="L16" i="3"/>
  <c r="R14" i="3"/>
  <c r="P12" i="3"/>
  <c r="O11" i="3"/>
  <c r="M9" i="3"/>
  <c r="L8" i="3"/>
  <c r="Q5" i="3"/>
  <c r="P498" i="3"/>
  <c r="N496" i="3"/>
  <c r="M495" i="3"/>
  <c r="R492" i="3"/>
  <c r="Q491" i="3"/>
  <c r="O489" i="3"/>
  <c r="N488" i="3"/>
  <c r="L486" i="3"/>
  <c r="R484" i="3"/>
  <c r="P482" i="3"/>
  <c r="O481" i="3"/>
  <c r="N480" i="3"/>
  <c r="L478" i="3"/>
  <c r="R476" i="3"/>
  <c r="P474" i="3"/>
  <c r="O473" i="3"/>
  <c r="M471" i="3"/>
  <c r="L470" i="3"/>
  <c r="Q467" i="3"/>
  <c r="P21" i="3"/>
  <c r="O20" i="3"/>
  <c r="N19" i="3"/>
  <c r="M18" i="3"/>
  <c r="L17" i="3"/>
  <c r="R15" i="3"/>
  <c r="Q14" i="3"/>
  <c r="P13" i="3"/>
  <c r="O12" i="3"/>
  <c r="N11" i="3"/>
  <c r="M10" i="3"/>
  <c r="L9" i="3"/>
  <c r="R7" i="3"/>
  <c r="Q6" i="3"/>
  <c r="P5" i="3"/>
  <c r="O498" i="3"/>
  <c r="N497" i="3"/>
  <c r="M496" i="3"/>
  <c r="L495" i="3"/>
  <c r="R493" i="3"/>
  <c r="Q492" i="3"/>
  <c r="P491" i="3"/>
  <c r="O490" i="3"/>
  <c r="N489" i="3"/>
  <c r="M488" i="3"/>
  <c r="L487" i="3"/>
  <c r="R485" i="3"/>
  <c r="Q484" i="3"/>
  <c r="P483" i="3"/>
  <c r="O482" i="3"/>
  <c r="N481" i="3"/>
  <c r="M480" i="3"/>
  <c r="L479" i="3"/>
  <c r="R477" i="3"/>
  <c r="Q476" i="3"/>
  <c r="P475" i="3"/>
  <c r="O474" i="3"/>
  <c r="N473" i="3"/>
  <c r="M472" i="3"/>
  <c r="L471" i="3"/>
  <c r="R469" i="3"/>
  <c r="Q468" i="3"/>
  <c r="P467" i="3"/>
  <c r="M466" i="3"/>
  <c r="R464" i="3"/>
  <c r="P463" i="3"/>
  <c r="M462" i="3"/>
  <c r="R460" i="3"/>
  <c r="P459" i="3"/>
  <c r="M458" i="3"/>
  <c r="R456" i="3"/>
  <c r="P455" i="3"/>
  <c r="L454" i="3"/>
  <c r="N452" i="3"/>
  <c r="Q450" i="3"/>
  <c r="M449" i="3"/>
  <c r="P447" i="3"/>
  <c r="L446" i="3"/>
  <c r="N444" i="3"/>
  <c r="Q442" i="3"/>
  <c r="K441" i="3"/>
  <c r="Q438" i="3"/>
  <c r="K436" i="3"/>
  <c r="N433" i="3"/>
  <c r="Q430" i="3"/>
  <c r="R427" i="3"/>
  <c r="K424" i="3"/>
  <c r="K421" i="3"/>
  <c r="L417" i="3"/>
  <c r="N413" i="3"/>
  <c r="N409" i="3"/>
  <c r="K404" i="3"/>
  <c r="Q398" i="3"/>
  <c r="N393" i="3"/>
  <c r="R387" i="3"/>
  <c r="R380" i="3"/>
  <c r="O373" i="3"/>
  <c r="M366" i="3"/>
  <c r="K359" i="3"/>
  <c r="K348" i="3"/>
  <c r="O335" i="3"/>
  <c r="P323" i="3"/>
  <c r="K308" i="3"/>
  <c r="N287" i="3"/>
  <c r="N262" i="3"/>
  <c r="L230" i="3"/>
  <c r="O178" i="3"/>
  <c r="R494" i="3"/>
  <c r="Q493" i="3"/>
  <c r="P492" i="3"/>
  <c r="O491" i="3"/>
  <c r="N490" i="3"/>
  <c r="M489" i="3"/>
  <c r="L488" i="3"/>
  <c r="R486" i="3"/>
  <c r="Q485" i="3"/>
  <c r="P484" i="3"/>
  <c r="O483" i="3"/>
  <c r="N482" i="3"/>
  <c r="M481" i="3"/>
  <c r="L480" i="3"/>
  <c r="R478" i="3"/>
  <c r="Q477" i="3"/>
  <c r="P476" i="3"/>
  <c r="O475" i="3"/>
  <c r="N474" i="3"/>
  <c r="M473" i="3"/>
  <c r="L472" i="3"/>
  <c r="R470" i="3"/>
  <c r="Q469" i="3"/>
  <c r="P468" i="3"/>
  <c r="N467" i="3"/>
  <c r="L466" i="3"/>
  <c r="Q464" i="3"/>
  <c r="N463" i="3"/>
  <c r="L462" i="3"/>
  <c r="Q460" i="3"/>
  <c r="N459" i="3"/>
  <c r="L458" i="3"/>
  <c r="Q456" i="3"/>
  <c r="N455" i="3"/>
  <c r="Q453" i="3"/>
  <c r="M452" i="3"/>
  <c r="P450" i="3"/>
  <c r="L449" i="3"/>
  <c r="N447" i="3"/>
  <c r="Q445" i="3"/>
  <c r="M444" i="3"/>
  <c r="O442" i="3"/>
  <c r="R440" i="3"/>
  <c r="O438" i="3"/>
  <c r="R435" i="3"/>
  <c r="L433" i="3"/>
  <c r="O430" i="3"/>
  <c r="Q427" i="3"/>
  <c r="R423" i="3"/>
  <c r="K420" i="3"/>
  <c r="K417" i="3"/>
  <c r="L413" i="3"/>
  <c r="L409" i="3"/>
  <c r="R403" i="3"/>
  <c r="O398" i="3"/>
  <c r="L393" i="3"/>
  <c r="Q387" i="3"/>
  <c r="P380" i="3"/>
  <c r="M373" i="3"/>
  <c r="K366" i="3"/>
  <c r="P358" i="3"/>
  <c r="P347" i="3"/>
  <c r="N335" i="3"/>
  <c r="K323" i="3"/>
  <c r="P307" i="3"/>
  <c r="L287" i="3"/>
  <c r="K261" i="3"/>
  <c r="K229" i="3"/>
  <c r="L177" i="3"/>
  <c r="L497" i="3"/>
  <c r="R495" i="3"/>
  <c r="Q494" i="3"/>
  <c r="P493" i="3"/>
  <c r="O492" i="3"/>
  <c r="N491" i="3"/>
  <c r="M490" i="3"/>
  <c r="L489" i="3"/>
  <c r="R487" i="3"/>
  <c r="Q486" i="3"/>
  <c r="P485" i="3"/>
  <c r="O484" i="3"/>
  <c r="N483" i="3"/>
  <c r="M482" i="3"/>
  <c r="L481" i="3"/>
  <c r="R479" i="3"/>
  <c r="Q478" i="3"/>
  <c r="P477" i="3"/>
  <c r="O476" i="3"/>
  <c r="N475" i="3"/>
  <c r="M474" i="3"/>
  <c r="L473" i="3"/>
  <c r="R471" i="3"/>
  <c r="Q470" i="3"/>
  <c r="P469" i="3"/>
  <c r="O468" i="3"/>
  <c r="M467" i="3"/>
  <c r="R465" i="3"/>
  <c r="P464" i="3"/>
  <c r="M463" i="3"/>
  <c r="R461" i="3"/>
  <c r="P460" i="3"/>
  <c r="M459" i="3"/>
  <c r="R457" i="3"/>
  <c r="P456" i="3"/>
  <c r="M455" i="3"/>
  <c r="P453" i="3"/>
  <c r="L452" i="3"/>
  <c r="N450" i="3"/>
  <c r="Q448" i="3"/>
  <c r="M447" i="3"/>
  <c r="P445" i="3"/>
  <c r="L444" i="3"/>
  <c r="M442" i="3"/>
  <c r="N440" i="3"/>
  <c r="N438" i="3"/>
  <c r="Q435" i="3"/>
  <c r="K433" i="3"/>
  <c r="N430" i="3"/>
  <c r="Q426" i="3"/>
  <c r="Q423" i="3"/>
  <c r="R419" i="3"/>
  <c r="K416" i="3"/>
  <c r="K413" i="3"/>
  <c r="K408" i="3"/>
  <c r="Q402" i="3"/>
  <c r="N397" i="3"/>
  <c r="K392" i="3"/>
  <c r="N386" i="3"/>
  <c r="K379" i="3"/>
  <c r="P371" i="3"/>
  <c r="N364" i="3"/>
  <c r="L357" i="3"/>
  <c r="P344" i="3"/>
  <c r="R332" i="3"/>
  <c r="O320" i="3"/>
  <c r="K303" i="3"/>
  <c r="R281" i="3"/>
  <c r="M255" i="3"/>
  <c r="R218" i="3"/>
  <c r="O151" i="3"/>
  <c r="M21" i="3"/>
  <c r="R18" i="3"/>
  <c r="P16" i="3"/>
  <c r="N14" i="3"/>
  <c r="L12" i="3"/>
  <c r="Q9" i="3"/>
  <c r="P8" i="3"/>
  <c r="O7" i="3"/>
  <c r="N6" i="3"/>
  <c r="M5" i="3"/>
  <c r="L498" i="3"/>
  <c r="R496" i="3"/>
  <c r="Q495" i="3"/>
  <c r="P494" i="3"/>
  <c r="O493" i="3"/>
  <c r="N492" i="3"/>
  <c r="M491" i="3"/>
  <c r="L490" i="3"/>
  <c r="R488" i="3"/>
  <c r="Q487" i="3"/>
  <c r="P486" i="3"/>
  <c r="O485" i="3"/>
  <c r="N484" i="3"/>
  <c r="M483" i="3"/>
  <c r="L482" i="3"/>
  <c r="R480" i="3"/>
  <c r="Q479" i="3"/>
  <c r="P478" i="3"/>
  <c r="O477" i="3"/>
  <c r="N476" i="3"/>
  <c r="M475" i="3"/>
  <c r="L474" i="3"/>
  <c r="R472" i="3"/>
  <c r="Q471" i="3"/>
  <c r="P470" i="3"/>
  <c r="O469" i="3"/>
  <c r="N468" i="3"/>
  <c r="L467" i="3"/>
  <c r="Q465" i="3"/>
  <c r="N464" i="3"/>
  <c r="L463" i="3"/>
  <c r="Q461" i="3"/>
  <c r="N460" i="3"/>
  <c r="L459" i="3"/>
  <c r="Q457" i="3"/>
  <c r="N456" i="3"/>
  <c r="L455" i="3"/>
  <c r="N453" i="3"/>
  <c r="Q451" i="3"/>
  <c r="M450" i="3"/>
  <c r="P448" i="3"/>
  <c r="L447" i="3"/>
  <c r="N445" i="3"/>
  <c r="Q443" i="3"/>
  <c r="L442" i="3"/>
  <c r="M440" i="3"/>
  <c r="R437" i="3"/>
  <c r="L435" i="3"/>
  <c r="O432" i="3"/>
  <c r="R429" i="3"/>
  <c r="O426" i="3"/>
  <c r="Q422" i="3"/>
  <c r="Q419" i="3"/>
  <c r="R415" i="3"/>
  <c r="K412" i="3"/>
  <c r="R407" i="3"/>
  <c r="O402" i="3"/>
  <c r="L397" i="3"/>
  <c r="R391" i="3"/>
  <c r="L386" i="3"/>
  <c r="R378" i="3"/>
  <c r="O371" i="3"/>
  <c r="L364" i="3"/>
  <c r="R356" i="3"/>
  <c r="O344" i="3"/>
  <c r="L332" i="3"/>
  <c r="M320" i="3"/>
  <c r="N302" i="3"/>
  <c r="O280" i="3"/>
  <c r="N254" i="3"/>
  <c r="L218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N22" i="3"/>
  <c r="L24" i="3"/>
  <c r="O25" i="3"/>
  <c r="M27" i="3"/>
  <c r="K29" i="3"/>
  <c r="N30" i="3"/>
  <c r="L32" i="3"/>
  <c r="O33" i="3"/>
  <c r="M35" i="3"/>
  <c r="K37" i="3"/>
  <c r="N38" i="3"/>
  <c r="L40" i="3"/>
  <c r="O41" i="3"/>
  <c r="M43" i="3"/>
  <c r="K45" i="3"/>
  <c r="N46" i="3"/>
  <c r="L48" i="3"/>
  <c r="O49" i="3"/>
  <c r="M51" i="3"/>
  <c r="K53" i="3"/>
  <c r="N54" i="3"/>
  <c r="L56" i="3"/>
  <c r="O57" i="3"/>
  <c r="M59" i="3"/>
  <c r="K61" i="3"/>
  <c r="N62" i="3"/>
  <c r="L64" i="3"/>
  <c r="O65" i="3"/>
  <c r="M67" i="3"/>
  <c r="K69" i="3"/>
  <c r="N70" i="3"/>
  <c r="L72" i="3"/>
  <c r="O73" i="3"/>
  <c r="M75" i="3"/>
  <c r="K77" i="3"/>
  <c r="N78" i="3"/>
  <c r="K80" i="3"/>
  <c r="M81" i="3"/>
  <c r="O82" i="3"/>
  <c r="Q83" i="3"/>
  <c r="R84" i="3"/>
  <c r="K86" i="3"/>
  <c r="L87" i="3"/>
  <c r="M88" i="3"/>
  <c r="N89" i="3"/>
  <c r="O90" i="3"/>
  <c r="Q91" i="3"/>
  <c r="R92" i="3"/>
  <c r="K94" i="3"/>
  <c r="L95" i="3"/>
  <c r="M96" i="3"/>
  <c r="N97" i="3"/>
  <c r="O98" i="3"/>
  <c r="Q99" i="3"/>
  <c r="R100" i="3"/>
  <c r="K102" i="3"/>
  <c r="L103" i="3"/>
  <c r="L104" i="3"/>
  <c r="L105" i="3"/>
  <c r="L106" i="3"/>
  <c r="L107" i="3"/>
  <c r="O22" i="3"/>
  <c r="M24" i="3"/>
  <c r="K26" i="3"/>
  <c r="N27" i="3"/>
  <c r="L29" i="3"/>
  <c r="O30" i="3"/>
  <c r="M32" i="3"/>
  <c r="K34" i="3"/>
  <c r="N35" i="3"/>
  <c r="L37" i="3"/>
  <c r="O38" i="3"/>
  <c r="M40" i="3"/>
  <c r="K42" i="3"/>
  <c r="N43" i="3"/>
  <c r="L45" i="3"/>
  <c r="O46" i="3"/>
  <c r="M48" i="3"/>
  <c r="K50" i="3"/>
  <c r="N51" i="3"/>
  <c r="L53" i="3"/>
  <c r="O54" i="3"/>
  <c r="M56" i="3"/>
  <c r="K58" i="3"/>
  <c r="N59" i="3"/>
  <c r="L61" i="3"/>
  <c r="O62" i="3"/>
  <c r="M64" i="3"/>
  <c r="K66" i="3"/>
  <c r="N67" i="3"/>
  <c r="L69" i="3"/>
  <c r="O70" i="3"/>
  <c r="M72" i="3"/>
  <c r="K74" i="3"/>
  <c r="N75" i="3"/>
  <c r="L77" i="3"/>
  <c r="O78" i="3"/>
  <c r="L80" i="3"/>
  <c r="N81" i="3"/>
  <c r="Q82" i="3"/>
  <c r="R83" i="3"/>
  <c r="K85" i="3"/>
  <c r="L86" i="3"/>
  <c r="M87" i="3"/>
  <c r="N88" i="3"/>
  <c r="O89" i="3"/>
  <c r="Q90" i="3"/>
  <c r="R91" i="3"/>
  <c r="K93" i="3"/>
  <c r="L94" i="3"/>
  <c r="M95" i="3"/>
  <c r="N96" i="3"/>
  <c r="O97" i="3"/>
  <c r="Q98" i="3"/>
  <c r="R99" i="3"/>
  <c r="K101" i="3"/>
  <c r="L102" i="3"/>
  <c r="M103" i="3"/>
  <c r="M104" i="3"/>
  <c r="M105" i="3"/>
  <c r="M106" i="3"/>
  <c r="M107" i="3"/>
  <c r="K23" i="3"/>
  <c r="N24" i="3"/>
  <c r="L26" i="3"/>
  <c r="O27" i="3"/>
  <c r="M29" i="3"/>
  <c r="K31" i="3"/>
  <c r="N32" i="3"/>
  <c r="L34" i="3"/>
  <c r="O35" i="3"/>
  <c r="M37" i="3"/>
  <c r="K39" i="3"/>
  <c r="N40" i="3"/>
  <c r="L42" i="3"/>
  <c r="O43" i="3"/>
  <c r="M45" i="3"/>
  <c r="K47" i="3"/>
  <c r="N48" i="3"/>
  <c r="L50" i="3"/>
  <c r="O51" i="3"/>
  <c r="M53" i="3"/>
  <c r="K55" i="3"/>
  <c r="N56" i="3"/>
  <c r="L58" i="3"/>
  <c r="O59" i="3"/>
  <c r="M61" i="3"/>
  <c r="K63" i="3"/>
  <c r="N64" i="3"/>
  <c r="L66" i="3"/>
  <c r="O67" i="3"/>
  <c r="M69" i="3"/>
  <c r="K71" i="3"/>
  <c r="N72" i="3"/>
  <c r="L74" i="3"/>
  <c r="O75" i="3"/>
  <c r="M77" i="3"/>
  <c r="K79" i="3"/>
  <c r="M80" i="3"/>
  <c r="O81" i="3"/>
  <c r="R82" i="3"/>
  <c r="K84" i="3"/>
  <c r="L85" i="3"/>
  <c r="M86" i="3"/>
  <c r="N87" i="3"/>
  <c r="O88" i="3"/>
  <c r="Q89" i="3"/>
  <c r="R90" i="3"/>
  <c r="K92" i="3"/>
  <c r="L93" i="3"/>
  <c r="M94" i="3"/>
  <c r="N95" i="3"/>
  <c r="O96" i="3"/>
  <c r="Q97" i="3"/>
  <c r="R98" i="3"/>
  <c r="K100" i="3"/>
  <c r="L101" i="3"/>
  <c r="M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L23" i="3"/>
  <c r="M25" i="3"/>
  <c r="L28" i="3"/>
  <c r="M30" i="3"/>
  <c r="L33" i="3"/>
  <c r="K36" i="3"/>
  <c r="L38" i="3"/>
  <c r="K41" i="3"/>
  <c r="L43" i="3"/>
  <c r="K46" i="3"/>
  <c r="O48" i="3"/>
  <c r="K51" i="3"/>
  <c r="O53" i="3"/>
  <c r="K56" i="3"/>
  <c r="O58" i="3"/>
  <c r="N61" i="3"/>
  <c r="O63" i="3"/>
  <c r="N66" i="3"/>
  <c r="O68" i="3"/>
  <c r="N71" i="3"/>
  <c r="M74" i="3"/>
  <c r="N76" i="3"/>
  <c r="M79" i="3"/>
  <c r="L81" i="3"/>
  <c r="M83" i="3"/>
  <c r="M85" i="3"/>
  <c r="R86" i="3"/>
  <c r="R88" i="3"/>
  <c r="N90" i="3"/>
  <c r="N92" i="3"/>
  <c r="N94" i="3"/>
  <c r="K96" i="3"/>
  <c r="K98" i="3"/>
  <c r="O99" i="3"/>
  <c r="O101" i="3"/>
  <c r="O103" i="3"/>
  <c r="R104" i="3"/>
  <c r="P106" i="3"/>
  <c r="K108" i="3"/>
  <c r="L109" i="3"/>
  <c r="M110" i="3"/>
  <c r="O111" i="3"/>
  <c r="P112" i="3"/>
  <c r="Q113" i="3"/>
  <c r="R114" i="3"/>
  <c r="K116" i="3"/>
  <c r="L117" i="3"/>
  <c r="M118" i="3"/>
  <c r="O119" i="3"/>
  <c r="P120" i="3"/>
  <c r="M23" i="3"/>
  <c r="N25" i="3"/>
  <c r="M28" i="3"/>
  <c r="L31" i="3"/>
  <c r="M33" i="3"/>
  <c r="L36" i="3"/>
  <c r="M38" i="3"/>
  <c r="L41" i="3"/>
  <c r="K44" i="3"/>
  <c r="L46" i="3"/>
  <c r="K49" i="3"/>
  <c r="L51" i="3"/>
  <c r="K54" i="3"/>
  <c r="O56" i="3"/>
  <c r="K59" i="3"/>
  <c r="O61" i="3"/>
  <c r="K64" i="3"/>
  <c r="O66" i="3"/>
  <c r="N69" i="3"/>
  <c r="O71" i="3"/>
  <c r="N74" i="3"/>
  <c r="O76" i="3"/>
  <c r="N79" i="3"/>
  <c r="R81" i="3"/>
  <c r="N83" i="3"/>
  <c r="N85" i="3"/>
  <c r="K87" i="3"/>
  <c r="K89" i="3"/>
  <c r="K91" i="3"/>
  <c r="O92" i="3"/>
  <c r="O94" i="3"/>
  <c r="L96" i="3"/>
  <c r="L98" i="3"/>
  <c r="L100" i="3"/>
  <c r="Q101" i="3"/>
  <c r="P103" i="3"/>
  <c r="K105" i="3"/>
  <c r="Q106" i="3"/>
  <c r="L108" i="3"/>
  <c r="M109" i="3"/>
  <c r="O110" i="3"/>
  <c r="P111" i="3"/>
  <c r="Q112" i="3"/>
  <c r="R113" i="3"/>
  <c r="K115" i="3"/>
  <c r="L116" i="3"/>
  <c r="M117" i="3"/>
  <c r="O118" i="3"/>
  <c r="N23" i="3"/>
  <c r="M26" i="3"/>
  <c r="N28" i="3"/>
  <c r="M31" i="3"/>
  <c r="N33" i="3"/>
  <c r="M36" i="3"/>
  <c r="L39" i="3"/>
  <c r="M41" i="3"/>
  <c r="L44" i="3"/>
  <c r="M46" i="3"/>
  <c r="L49" i="3"/>
  <c r="K52" i="3"/>
  <c r="L54" i="3"/>
  <c r="K57" i="3"/>
  <c r="L59" i="3"/>
  <c r="K62" i="3"/>
  <c r="O64" i="3"/>
  <c r="K67" i="3"/>
  <c r="O69" i="3"/>
  <c r="K72" i="3"/>
  <c r="O74" i="3"/>
  <c r="N77" i="3"/>
  <c r="O79" i="3"/>
  <c r="K82" i="3"/>
  <c r="O83" i="3"/>
  <c r="O85" i="3"/>
  <c r="O87" i="3"/>
  <c r="L89" i="3"/>
  <c r="L91" i="3"/>
  <c r="Q92" i="3"/>
  <c r="Q94" i="3"/>
  <c r="Q96" i="3"/>
  <c r="M98" i="3"/>
  <c r="M100" i="3"/>
  <c r="R101" i="3"/>
  <c r="Q103" i="3"/>
  <c r="O105" i="3"/>
  <c r="R106" i="3"/>
  <c r="M108" i="3"/>
  <c r="O109" i="3"/>
  <c r="P110" i="3"/>
  <c r="Q111" i="3"/>
  <c r="R112" i="3"/>
  <c r="K114" i="3"/>
  <c r="L115" i="3"/>
  <c r="M116" i="3"/>
  <c r="O117" i="3"/>
  <c r="P118" i="3"/>
  <c r="Q119" i="3"/>
  <c r="O23" i="3"/>
  <c r="N26" i="3"/>
  <c r="O28" i="3"/>
  <c r="N31" i="3"/>
  <c r="M34" i="3"/>
  <c r="N36" i="3"/>
  <c r="M39" i="3"/>
  <c r="N41" i="3"/>
  <c r="M44" i="3"/>
  <c r="L47" i="3"/>
  <c r="M49" i="3"/>
  <c r="L52" i="3"/>
  <c r="M54" i="3"/>
  <c r="L57" i="3"/>
  <c r="K60" i="3"/>
  <c r="L62" i="3"/>
  <c r="K65" i="3"/>
  <c r="L67" i="3"/>
  <c r="K70" i="3"/>
  <c r="O72" i="3"/>
  <c r="K75" i="3"/>
  <c r="O77" i="3"/>
  <c r="R79" i="3"/>
  <c r="L82" i="3"/>
  <c r="L84" i="3"/>
  <c r="Q85" i="3"/>
  <c r="Q87" i="3"/>
  <c r="M89" i="3"/>
  <c r="M91" i="3"/>
  <c r="M93" i="3"/>
  <c r="R94" i="3"/>
  <c r="R96" i="3"/>
  <c r="N98" i="3"/>
  <c r="N100" i="3"/>
  <c r="N102" i="3"/>
  <c r="R103" i="3"/>
  <c r="P105" i="3"/>
  <c r="K107" i="3"/>
  <c r="O108" i="3"/>
  <c r="P109" i="3"/>
  <c r="Q110" i="3"/>
  <c r="R111" i="3"/>
  <c r="K113" i="3"/>
  <c r="L114" i="3"/>
  <c r="M115" i="3"/>
  <c r="O116" i="3"/>
  <c r="P117" i="3"/>
  <c r="Q118" i="3"/>
  <c r="R119" i="3"/>
  <c r="K121" i="3"/>
  <c r="L122" i="3"/>
  <c r="M123" i="3"/>
  <c r="O124" i="3"/>
  <c r="P125" i="3"/>
  <c r="Q126" i="3"/>
  <c r="R127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M22" i="3"/>
  <c r="K28" i="3"/>
  <c r="K33" i="3"/>
  <c r="K38" i="3"/>
  <c r="K43" i="3"/>
  <c r="K48" i="3"/>
  <c r="N53" i="3"/>
  <c r="N58" i="3"/>
  <c r="N63" i="3"/>
  <c r="N68" i="3"/>
  <c r="N73" i="3"/>
  <c r="L79" i="3"/>
  <c r="L83" i="3"/>
  <c r="Q86" i="3"/>
  <c r="M90" i="3"/>
  <c r="R93" i="3"/>
  <c r="R97" i="3"/>
  <c r="N101" i="3"/>
  <c r="Q104" i="3"/>
  <c r="R107" i="3"/>
  <c r="L110" i="3"/>
  <c r="O112" i="3"/>
  <c r="Q114" i="3"/>
  <c r="K117" i="3"/>
  <c r="M119" i="3"/>
  <c r="L121" i="3"/>
  <c r="O122" i="3"/>
  <c r="Q123" i="3"/>
  <c r="K125" i="3"/>
  <c r="M126" i="3"/>
  <c r="P127" i="3"/>
  <c r="R128" i="3"/>
  <c r="L130" i="3"/>
  <c r="M131" i="3"/>
  <c r="N132" i="3"/>
  <c r="O133" i="3"/>
  <c r="P134" i="3"/>
  <c r="Q135" i="3"/>
  <c r="R136" i="3"/>
  <c r="L138" i="3"/>
  <c r="M139" i="3"/>
  <c r="N140" i="3"/>
  <c r="O141" i="3"/>
  <c r="P142" i="3"/>
  <c r="Q143" i="3"/>
  <c r="R144" i="3"/>
  <c r="L146" i="3"/>
  <c r="M147" i="3"/>
  <c r="N148" i="3"/>
  <c r="O149" i="3"/>
  <c r="P150" i="3"/>
  <c r="Q151" i="3"/>
  <c r="R152" i="3"/>
  <c r="L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K24" i="3"/>
  <c r="N29" i="3"/>
  <c r="N34" i="3"/>
  <c r="N39" i="3"/>
  <c r="N44" i="3"/>
  <c r="N49" i="3"/>
  <c r="L55" i="3"/>
  <c r="L60" i="3"/>
  <c r="L65" i="3"/>
  <c r="L70" i="3"/>
  <c r="L75" i="3"/>
  <c r="N80" i="3"/>
  <c r="M84" i="3"/>
  <c r="R87" i="3"/>
  <c r="N91" i="3"/>
  <c r="K95" i="3"/>
  <c r="K99" i="3"/>
  <c r="O102" i="3"/>
  <c r="Q105" i="3"/>
  <c r="P108" i="3"/>
  <c r="R110" i="3"/>
  <c r="L113" i="3"/>
  <c r="O115" i="3"/>
  <c r="Q117" i="3"/>
  <c r="P119" i="3"/>
  <c r="M121" i="3"/>
  <c r="P122" i="3"/>
  <c r="R123" i="3"/>
  <c r="L125" i="3"/>
  <c r="O126" i="3"/>
  <c r="Q127" i="3"/>
  <c r="L129" i="3"/>
  <c r="M130" i="3"/>
  <c r="N131" i="3"/>
  <c r="O132" i="3"/>
  <c r="P133" i="3"/>
  <c r="Q134" i="3"/>
  <c r="R135" i="3"/>
  <c r="L137" i="3"/>
  <c r="M138" i="3"/>
  <c r="N139" i="3"/>
  <c r="O140" i="3"/>
  <c r="P141" i="3"/>
  <c r="Q142" i="3"/>
  <c r="R143" i="3"/>
  <c r="L145" i="3"/>
  <c r="M146" i="3"/>
  <c r="N147" i="3"/>
  <c r="O148" i="3"/>
  <c r="P149" i="3"/>
  <c r="Q150" i="3"/>
  <c r="R151" i="3"/>
  <c r="L153" i="3"/>
  <c r="M154" i="3"/>
  <c r="O24" i="3"/>
  <c r="O29" i="3"/>
  <c r="O34" i="3"/>
  <c r="O39" i="3"/>
  <c r="O44" i="3"/>
  <c r="M50" i="3"/>
  <c r="M55" i="3"/>
  <c r="M60" i="3"/>
  <c r="M65" i="3"/>
  <c r="M70" i="3"/>
  <c r="K76" i="3"/>
  <c r="O80" i="3"/>
  <c r="N84" i="3"/>
  <c r="K88" i="3"/>
  <c r="O91" i="3"/>
  <c r="O95" i="3"/>
  <c r="L99" i="3"/>
  <c r="Q102" i="3"/>
  <c r="R105" i="3"/>
  <c r="Q108" i="3"/>
  <c r="K111" i="3"/>
  <c r="M113" i="3"/>
  <c r="P115" i="3"/>
  <c r="R117" i="3"/>
  <c r="K120" i="3"/>
  <c r="O121" i="3"/>
  <c r="Q122" i="3"/>
  <c r="K124" i="3"/>
  <c r="M125" i="3"/>
  <c r="P126" i="3"/>
  <c r="K128" i="3"/>
  <c r="M129" i="3"/>
  <c r="N130" i="3"/>
  <c r="O131" i="3"/>
  <c r="P132" i="3"/>
  <c r="Q133" i="3"/>
  <c r="R134" i="3"/>
  <c r="L136" i="3"/>
  <c r="M137" i="3"/>
  <c r="N138" i="3"/>
  <c r="O139" i="3"/>
  <c r="P140" i="3"/>
  <c r="Q141" i="3"/>
  <c r="R142" i="3"/>
  <c r="L144" i="3"/>
  <c r="M145" i="3"/>
  <c r="N146" i="3"/>
  <c r="O147" i="3"/>
  <c r="P148" i="3"/>
  <c r="Q149" i="3"/>
  <c r="R150" i="3"/>
  <c r="L152" i="3"/>
  <c r="L25" i="3"/>
  <c r="L30" i="3"/>
  <c r="L35" i="3"/>
  <c r="O40" i="3"/>
  <c r="O45" i="3"/>
  <c r="O50" i="3"/>
  <c r="O55" i="3"/>
  <c r="O60" i="3"/>
  <c r="M66" i="3"/>
  <c r="M71" i="3"/>
  <c r="M76" i="3"/>
  <c r="K81" i="3"/>
  <c r="Q84" i="3"/>
  <c r="Q88" i="3"/>
  <c r="M92" i="3"/>
  <c r="R95" i="3"/>
  <c r="N99" i="3"/>
  <c r="K103" i="3"/>
  <c r="O106" i="3"/>
  <c r="K109" i="3"/>
  <c r="M111" i="3"/>
  <c r="P113" i="3"/>
  <c r="R115" i="3"/>
  <c r="L118" i="3"/>
  <c r="M120" i="3"/>
  <c r="Q121" i="3"/>
  <c r="K123" i="3"/>
  <c r="M124" i="3"/>
  <c r="Q125" i="3"/>
  <c r="K127" i="3"/>
  <c r="M128" i="3"/>
  <c r="O129" i="3"/>
  <c r="P130" i="3"/>
  <c r="Q131" i="3"/>
  <c r="R132" i="3"/>
  <c r="L134" i="3"/>
  <c r="M135" i="3"/>
  <c r="N136" i="3"/>
  <c r="O137" i="3"/>
  <c r="P138" i="3"/>
  <c r="Q139" i="3"/>
  <c r="R140" i="3"/>
  <c r="L142" i="3"/>
  <c r="M143" i="3"/>
  <c r="N144" i="3"/>
  <c r="O145" i="3"/>
  <c r="P146" i="3"/>
  <c r="Q147" i="3"/>
  <c r="R148" i="3"/>
  <c r="L150" i="3"/>
  <c r="M151" i="3"/>
  <c r="N152" i="3"/>
  <c r="O153" i="3"/>
  <c r="P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L27" i="3"/>
  <c r="O37" i="3"/>
  <c r="O47" i="3"/>
  <c r="M58" i="3"/>
  <c r="M68" i="3"/>
  <c r="M78" i="3"/>
  <c r="O86" i="3"/>
  <c r="Q93" i="3"/>
  <c r="M101" i="3"/>
  <c r="Q107" i="3"/>
  <c r="M112" i="3"/>
  <c r="R116" i="3"/>
  <c r="R120" i="3"/>
  <c r="P123" i="3"/>
  <c r="L126" i="3"/>
  <c r="Q128" i="3"/>
  <c r="L131" i="3"/>
  <c r="N133" i="3"/>
  <c r="P135" i="3"/>
  <c r="R137" i="3"/>
  <c r="M140" i="3"/>
  <c r="O142" i="3"/>
  <c r="Q144" i="3"/>
  <c r="L147" i="3"/>
  <c r="N149" i="3"/>
  <c r="P151" i="3"/>
  <c r="Q153" i="3"/>
  <c r="O155" i="3"/>
  <c r="R156" i="3"/>
  <c r="L158" i="3"/>
  <c r="O159" i="3"/>
  <c r="R160" i="3"/>
  <c r="L162" i="3"/>
  <c r="O163" i="3"/>
  <c r="R164" i="3"/>
  <c r="L166" i="3"/>
  <c r="N167" i="3"/>
  <c r="O168" i="3"/>
  <c r="P169" i="3"/>
  <c r="R170" i="3"/>
  <c r="K172" i="3"/>
  <c r="L173" i="3"/>
  <c r="M174" i="3"/>
  <c r="K30" i="3"/>
  <c r="K40" i="3"/>
  <c r="N50" i="3"/>
  <c r="N60" i="3"/>
  <c r="L71" i="3"/>
  <c r="R80" i="3"/>
  <c r="L88" i="3"/>
  <c r="Q95" i="3"/>
  <c r="R102" i="3"/>
  <c r="R108" i="3"/>
  <c r="O113" i="3"/>
  <c r="K118" i="3"/>
  <c r="P121" i="3"/>
  <c r="L124" i="3"/>
  <c r="R126" i="3"/>
  <c r="N129" i="3"/>
  <c r="P131" i="3"/>
  <c r="R133" i="3"/>
  <c r="M136" i="3"/>
  <c r="O138" i="3"/>
  <c r="Q140" i="3"/>
  <c r="L143" i="3"/>
  <c r="N145" i="3"/>
  <c r="P147" i="3"/>
  <c r="R149" i="3"/>
  <c r="M152" i="3"/>
  <c r="R153" i="3"/>
  <c r="P155" i="3"/>
  <c r="K157" i="3"/>
  <c r="N158" i="3"/>
  <c r="P159" i="3"/>
  <c r="K161" i="3"/>
  <c r="N162" i="3"/>
  <c r="P163" i="3"/>
  <c r="K165" i="3"/>
  <c r="N166" i="3"/>
  <c r="O167" i="3"/>
  <c r="P168" i="3"/>
  <c r="R169" i="3"/>
  <c r="K171" i="3"/>
  <c r="L172" i="3"/>
  <c r="M173" i="3"/>
  <c r="N174" i="3"/>
  <c r="O175" i="3"/>
  <c r="P176" i="3"/>
  <c r="R177" i="3"/>
  <c r="K179" i="3"/>
  <c r="L180" i="3"/>
  <c r="M181" i="3"/>
  <c r="N182" i="3"/>
  <c r="O183" i="3"/>
  <c r="P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O31" i="3"/>
  <c r="M42" i="3"/>
  <c r="M52" i="3"/>
  <c r="M62" i="3"/>
  <c r="K73" i="3"/>
  <c r="M82" i="3"/>
  <c r="R89" i="3"/>
  <c r="K97" i="3"/>
  <c r="K104" i="3"/>
  <c r="Q109" i="3"/>
  <c r="M114" i="3"/>
  <c r="R118" i="3"/>
  <c r="R121" i="3"/>
  <c r="P124" i="3"/>
  <c r="L127" i="3"/>
  <c r="P129" i="3"/>
  <c r="R131" i="3"/>
  <c r="M134" i="3"/>
  <c r="O136" i="3"/>
  <c r="Q138" i="3"/>
  <c r="L141" i="3"/>
  <c r="N143" i="3"/>
  <c r="P145" i="3"/>
  <c r="R147" i="3"/>
  <c r="M150" i="3"/>
  <c r="O152" i="3"/>
  <c r="N154" i="3"/>
  <c r="R155" i="3"/>
  <c r="L157" i="3"/>
  <c r="O158" i="3"/>
  <c r="R159" i="3"/>
  <c r="L161" i="3"/>
  <c r="O162" i="3"/>
  <c r="R163" i="3"/>
  <c r="L165" i="3"/>
  <c r="O166" i="3"/>
  <c r="P167" i="3"/>
  <c r="R168" i="3"/>
  <c r="K170" i="3"/>
  <c r="L171" i="3"/>
  <c r="M172" i="3"/>
  <c r="N173" i="3"/>
  <c r="O174" i="3"/>
  <c r="P175" i="3"/>
  <c r="R176" i="3"/>
  <c r="K178" i="3"/>
  <c r="L179" i="3"/>
  <c r="M180" i="3"/>
  <c r="K22" i="3"/>
  <c r="K32" i="3"/>
  <c r="N42" i="3"/>
  <c r="N52" i="3"/>
  <c r="L63" i="3"/>
  <c r="L73" i="3"/>
  <c r="N82" i="3"/>
  <c r="K90" i="3"/>
  <c r="L97" i="3"/>
  <c r="O104" i="3"/>
  <c r="R109" i="3"/>
  <c r="O114" i="3"/>
  <c r="K119" i="3"/>
  <c r="K122" i="3"/>
  <c r="Q124" i="3"/>
  <c r="M127" i="3"/>
  <c r="Q129" i="3"/>
  <c r="L132" i="3"/>
  <c r="N134" i="3"/>
  <c r="P136" i="3"/>
  <c r="R138" i="3"/>
  <c r="M141" i="3"/>
  <c r="O143" i="3"/>
  <c r="Q145" i="3"/>
  <c r="L148" i="3"/>
  <c r="N150" i="3"/>
  <c r="P152" i="3"/>
  <c r="O154" i="3"/>
  <c r="K156" i="3"/>
  <c r="N157" i="3"/>
  <c r="P158" i="3"/>
  <c r="K160" i="3"/>
  <c r="N161" i="3"/>
  <c r="K25" i="3"/>
  <c r="K35" i="3"/>
  <c r="N45" i="3"/>
  <c r="N55" i="3"/>
  <c r="N65" i="3"/>
  <c r="L76" i="3"/>
  <c r="O84" i="3"/>
  <c r="L92" i="3"/>
  <c r="M99" i="3"/>
  <c r="K106" i="3"/>
  <c r="L111" i="3"/>
  <c r="Q115" i="3"/>
  <c r="L120" i="3"/>
  <c r="R122" i="3"/>
  <c r="O125" i="3"/>
  <c r="L128" i="3"/>
  <c r="O130" i="3"/>
  <c r="Q132" i="3"/>
  <c r="L135" i="3"/>
  <c r="N137" i="3"/>
  <c r="P139" i="3"/>
  <c r="R141" i="3"/>
  <c r="M144" i="3"/>
  <c r="O146" i="3"/>
  <c r="Q148" i="3"/>
  <c r="L151" i="3"/>
  <c r="M153" i="3"/>
  <c r="R154" i="3"/>
  <c r="N156" i="3"/>
  <c r="P157" i="3"/>
  <c r="K159" i="3"/>
  <c r="N160" i="3"/>
  <c r="P161" i="3"/>
  <c r="K163" i="3"/>
  <c r="N164" i="3"/>
  <c r="P165" i="3"/>
  <c r="K167" i="3"/>
  <c r="L168" i="3"/>
  <c r="M169" i="3"/>
  <c r="N170" i="3"/>
  <c r="O171" i="3"/>
  <c r="P172" i="3"/>
  <c r="R173" i="3"/>
  <c r="K175" i="3"/>
  <c r="L176" i="3"/>
  <c r="M177" i="3"/>
  <c r="N178" i="3"/>
  <c r="O179" i="3"/>
  <c r="P180" i="3"/>
  <c r="R181" i="3"/>
  <c r="K183" i="3"/>
  <c r="L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47" i="3"/>
  <c r="M73" i="3"/>
  <c r="O93" i="3"/>
  <c r="K112" i="3"/>
  <c r="M122" i="3"/>
  <c r="P128" i="3"/>
  <c r="N135" i="3"/>
  <c r="N141" i="3"/>
  <c r="R146" i="3"/>
  <c r="N153" i="3"/>
  <c r="O157" i="3"/>
  <c r="P160" i="3"/>
  <c r="K164" i="3"/>
  <c r="P166" i="3"/>
  <c r="K169" i="3"/>
  <c r="M171" i="3"/>
  <c r="O173" i="3"/>
  <c r="N175" i="3"/>
  <c r="N177" i="3"/>
  <c r="M179" i="3"/>
  <c r="K181" i="3"/>
  <c r="O182" i="3"/>
  <c r="K184" i="3"/>
  <c r="O185" i="3"/>
  <c r="R186" i="3"/>
  <c r="L188" i="3"/>
  <c r="O189" i="3"/>
  <c r="R190" i="3"/>
  <c r="L192" i="3"/>
  <c r="O193" i="3"/>
  <c r="R194" i="3"/>
  <c r="L196" i="3"/>
  <c r="O197" i="3"/>
  <c r="R198" i="3"/>
  <c r="K200" i="3"/>
  <c r="L201" i="3"/>
  <c r="N202" i="3"/>
  <c r="O203" i="3"/>
  <c r="P204" i="3"/>
  <c r="Q205" i="3"/>
  <c r="R206" i="3"/>
  <c r="K208" i="3"/>
  <c r="L209" i="3"/>
  <c r="N210" i="3"/>
  <c r="O211" i="3"/>
  <c r="P212" i="3"/>
  <c r="Q213" i="3"/>
  <c r="R214" i="3"/>
  <c r="K216" i="3"/>
  <c r="L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L22" i="3"/>
  <c r="N47" i="3"/>
  <c r="K78" i="3"/>
  <c r="M97" i="3"/>
  <c r="L112" i="3"/>
  <c r="L123" i="3"/>
  <c r="R129" i="3"/>
  <c r="O135" i="3"/>
  <c r="M142" i="3"/>
  <c r="M148" i="3"/>
  <c r="P153" i="3"/>
  <c r="R157" i="3"/>
  <c r="O161" i="3"/>
  <c r="L164" i="3"/>
  <c r="R166" i="3"/>
  <c r="L169" i="3"/>
  <c r="N171" i="3"/>
  <c r="P173" i="3"/>
  <c r="R175" i="3"/>
  <c r="O177" i="3"/>
  <c r="N179" i="3"/>
  <c r="L181" i="3"/>
  <c r="P182" i="3"/>
  <c r="M184" i="3"/>
  <c r="P185" i="3"/>
  <c r="K187" i="3"/>
  <c r="N188" i="3"/>
  <c r="P189" i="3"/>
  <c r="K191" i="3"/>
  <c r="N192" i="3"/>
  <c r="P193" i="3"/>
  <c r="K195" i="3"/>
  <c r="N196" i="3"/>
  <c r="P197" i="3"/>
  <c r="K199" i="3"/>
  <c r="L200" i="3"/>
  <c r="N201" i="3"/>
  <c r="O202" i="3"/>
  <c r="P203" i="3"/>
  <c r="Q204" i="3"/>
  <c r="R205" i="3"/>
  <c r="K207" i="3"/>
  <c r="L208" i="3"/>
  <c r="N209" i="3"/>
  <c r="O210" i="3"/>
  <c r="P211" i="3"/>
  <c r="Q212" i="3"/>
  <c r="R213" i="3"/>
  <c r="K215" i="3"/>
  <c r="L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O26" i="3"/>
  <c r="O52" i="3"/>
  <c r="L78" i="3"/>
  <c r="O100" i="3"/>
  <c r="P114" i="3"/>
  <c r="O123" i="3"/>
  <c r="Q130" i="3"/>
  <c r="Q136" i="3"/>
  <c r="N142" i="3"/>
  <c r="L149" i="3"/>
  <c r="Q154" i="3"/>
  <c r="K158" i="3"/>
  <c r="R161" i="3"/>
  <c r="O164" i="3"/>
  <c r="L167" i="3"/>
  <c r="N169" i="3"/>
  <c r="P171" i="3"/>
  <c r="K174" i="3"/>
  <c r="K176" i="3"/>
  <c r="P177" i="3"/>
  <c r="P179" i="3"/>
  <c r="N181" i="3"/>
  <c r="R182" i="3"/>
  <c r="N184" i="3"/>
  <c r="R185" i="3"/>
  <c r="L187" i="3"/>
  <c r="O188" i="3"/>
  <c r="R189" i="3"/>
  <c r="L191" i="3"/>
  <c r="O192" i="3"/>
  <c r="R193" i="3"/>
  <c r="L195" i="3"/>
  <c r="O196" i="3"/>
  <c r="R197" i="3"/>
  <c r="L199" i="3"/>
  <c r="N200" i="3"/>
  <c r="O201" i="3"/>
  <c r="P202" i="3"/>
  <c r="Q203" i="3"/>
  <c r="R204" i="3"/>
  <c r="K206" i="3"/>
  <c r="L207" i="3"/>
  <c r="N208" i="3"/>
  <c r="O209" i="3"/>
  <c r="P210" i="3"/>
  <c r="Q211" i="3"/>
  <c r="R212" i="3"/>
  <c r="K214" i="3"/>
  <c r="L215" i="3"/>
  <c r="N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32" i="3"/>
  <c r="N57" i="3"/>
  <c r="R85" i="3"/>
  <c r="P104" i="3"/>
  <c r="Q116" i="3"/>
  <c r="R125" i="3"/>
  <c r="M132" i="3"/>
  <c r="Q137" i="3"/>
  <c r="O144" i="3"/>
  <c r="O150" i="3"/>
  <c r="N155" i="3"/>
  <c r="L159" i="3"/>
  <c r="P162" i="3"/>
  <c r="N165" i="3"/>
  <c r="R167" i="3"/>
  <c r="L170" i="3"/>
  <c r="N172" i="3"/>
  <c r="P174" i="3"/>
  <c r="N176" i="3"/>
  <c r="M178" i="3"/>
  <c r="K180" i="3"/>
  <c r="P181" i="3"/>
  <c r="M183" i="3"/>
  <c r="R184" i="3"/>
  <c r="L186" i="3"/>
  <c r="O187" i="3"/>
  <c r="R188" i="3"/>
  <c r="L190" i="3"/>
  <c r="O191" i="3"/>
  <c r="R192" i="3"/>
  <c r="L194" i="3"/>
  <c r="O195" i="3"/>
  <c r="R196" i="3"/>
  <c r="L198" i="3"/>
  <c r="O199" i="3"/>
  <c r="P200" i="3"/>
  <c r="Q201" i="3"/>
  <c r="R202" i="3"/>
  <c r="K204" i="3"/>
  <c r="L205" i="3"/>
  <c r="N206" i="3"/>
  <c r="O207" i="3"/>
  <c r="P208" i="3"/>
  <c r="Q209" i="3"/>
  <c r="R210" i="3"/>
  <c r="K212" i="3"/>
  <c r="L213" i="3"/>
  <c r="N214" i="3"/>
  <c r="O215" i="3"/>
  <c r="P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L68" i="3"/>
  <c r="K110" i="3"/>
  <c r="O128" i="3"/>
  <c r="L140" i="3"/>
  <c r="Q152" i="3"/>
  <c r="O160" i="3"/>
  <c r="K166" i="3"/>
  <c r="P170" i="3"/>
  <c r="M175" i="3"/>
  <c r="R178" i="3"/>
  <c r="M182" i="3"/>
  <c r="N185" i="3"/>
  <c r="K188" i="3"/>
  <c r="P190" i="3"/>
  <c r="N193" i="3"/>
  <c r="K196" i="3"/>
  <c r="P198" i="3"/>
  <c r="K201" i="3"/>
  <c r="N203" i="3"/>
  <c r="P205" i="3"/>
  <c r="R207" i="3"/>
  <c r="L210" i="3"/>
  <c r="O212" i="3"/>
  <c r="Q214" i="3"/>
  <c r="K217" i="3"/>
  <c r="L219" i="3"/>
  <c r="L221" i="3"/>
  <c r="L223" i="3"/>
  <c r="L225" i="3"/>
  <c r="L227" i="3"/>
  <c r="L229" i="3"/>
  <c r="L231" i="3"/>
  <c r="R232" i="3"/>
  <c r="M234" i="3"/>
  <c r="K236" i="3"/>
  <c r="P237" i="3"/>
  <c r="L239" i="3"/>
  <c r="R240" i="3"/>
  <c r="M242" i="3"/>
  <c r="K244" i="3"/>
  <c r="P245" i="3"/>
  <c r="L247" i="3"/>
  <c r="R248" i="3"/>
  <c r="M250" i="3"/>
  <c r="K252" i="3"/>
  <c r="M253" i="3"/>
  <c r="P254" i="3"/>
  <c r="K256" i="3"/>
  <c r="M257" i="3"/>
  <c r="P258" i="3"/>
  <c r="K260" i="3"/>
  <c r="M261" i="3"/>
  <c r="P262" i="3"/>
  <c r="K264" i="3"/>
  <c r="M265" i="3"/>
  <c r="P266" i="3"/>
  <c r="K268" i="3"/>
  <c r="M269" i="3"/>
  <c r="O270" i="3"/>
  <c r="P271" i="3"/>
  <c r="R272" i="3"/>
  <c r="K274" i="3"/>
  <c r="L275" i="3"/>
  <c r="M276" i="3"/>
  <c r="N277" i="3"/>
  <c r="O278" i="3"/>
  <c r="P279" i="3"/>
  <c r="R280" i="3"/>
  <c r="K282" i="3"/>
  <c r="L283" i="3"/>
  <c r="M284" i="3"/>
  <c r="N285" i="3"/>
  <c r="O286" i="3"/>
  <c r="P287" i="3"/>
  <c r="R288" i="3"/>
  <c r="K290" i="3"/>
  <c r="L291" i="3"/>
  <c r="M292" i="3"/>
  <c r="N293" i="3"/>
  <c r="O294" i="3"/>
  <c r="P295" i="3"/>
  <c r="R296" i="3"/>
  <c r="K298" i="3"/>
  <c r="L299" i="3"/>
  <c r="M300" i="3"/>
  <c r="N301" i="3"/>
  <c r="O302" i="3"/>
  <c r="P303" i="3"/>
  <c r="R304" i="3"/>
  <c r="K306" i="3"/>
  <c r="L307" i="3"/>
  <c r="M308" i="3"/>
  <c r="N309" i="3"/>
  <c r="O310" i="3"/>
  <c r="P311" i="3"/>
  <c r="P312" i="3"/>
  <c r="P313" i="3"/>
  <c r="P314" i="3"/>
  <c r="P315" i="3"/>
  <c r="P316" i="3"/>
  <c r="P317" i="3"/>
  <c r="P318" i="3"/>
  <c r="K27" i="3"/>
  <c r="K83" i="3"/>
  <c r="P116" i="3"/>
  <c r="R130" i="3"/>
  <c r="P143" i="3"/>
  <c r="L155" i="3"/>
  <c r="K162" i="3"/>
  <c r="M167" i="3"/>
  <c r="R171" i="3"/>
  <c r="M176" i="3"/>
  <c r="R179" i="3"/>
  <c r="L183" i="3"/>
  <c r="K186" i="3"/>
  <c r="P188" i="3"/>
  <c r="N191" i="3"/>
  <c r="K194" i="3"/>
  <c r="P196" i="3"/>
  <c r="N199" i="3"/>
  <c r="P201" i="3"/>
  <c r="R203" i="3"/>
  <c r="L206" i="3"/>
  <c r="O208" i="3"/>
  <c r="Q210" i="3"/>
  <c r="K213" i="3"/>
  <c r="N215" i="3"/>
  <c r="P217" i="3"/>
  <c r="P219" i="3"/>
  <c r="P221" i="3"/>
  <c r="P223" i="3"/>
  <c r="P225" i="3"/>
  <c r="P227" i="3"/>
  <c r="P229" i="3"/>
  <c r="M231" i="3"/>
  <c r="K233" i="3"/>
  <c r="P234" i="3"/>
  <c r="L236" i="3"/>
  <c r="R237" i="3"/>
  <c r="M239" i="3"/>
  <c r="K241" i="3"/>
  <c r="P242" i="3"/>
  <c r="L244" i="3"/>
  <c r="R245" i="3"/>
  <c r="M247" i="3"/>
  <c r="K249" i="3"/>
  <c r="P250" i="3"/>
  <c r="L252" i="3"/>
  <c r="N253" i="3"/>
  <c r="R254" i="3"/>
  <c r="L256" i="3"/>
  <c r="N257" i="3"/>
  <c r="R258" i="3"/>
  <c r="L260" i="3"/>
  <c r="N261" i="3"/>
  <c r="R262" i="3"/>
  <c r="L264" i="3"/>
  <c r="N265" i="3"/>
  <c r="R266" i="3"/>
  <c r="L268" i="3"/>
  <c r="N269" i="3"/>
  <c r="P270" i="3"/>
  <c r="R271" i="3"/>
  <c r="K273" i="3"/>
  <c r="L274" i="3"/>
  <c r="M275" i="3"/>
  <c r="N276" i="3"/>
  <c r="O277" i="3"/>
  <c r="P278" i="3"/>
  <c r="R279" i="3"/>
  <c r="K281" i="3"/>
  <c r="L282" i="3"/>
  <c r="M283" i="3"/>
  <c r="N284" i="3"/>
  <c r="O285" i="3"/>
  <c r="P286" i="3"/>
  <c r="R287" i="3"/>
  <c r="K289" i="3"/>
  <c r="L290" i="3"/>
  <c r="M291" i="3"/>
  <c r="N292" i="3"/>
  <c r="O293" i="3"/>
  <c r="P294" i="3"/>
  <c r="R295" i="3"/>
  <c r="K297" i="3"/>
  <c r="L298" i="3"/>
  <c r="M299" i="3"/>
  <c r="N300" i="3"/>
  <c r="O301" i="3"/>
  <c r="P302" i="3"/>
  <c r="R303" i="3"/>
  <c r="K305" i="3"/>
  <c r="L306" i="3"/>
  <c r="M307" i="3"/>
  <c r="N308" i="3"/>
  <c r="O309" i="3"/>
  <c r="P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O36" i="3"/>
  <c r="N86" i="3"/>
  <c r="L119" i="3"/>
  <c r="L133" i="3"/>
  <c r="P144" i="3"/>
  <c r="L156" i="3"/>
  <c r="R162" i="3"/>
  <c r="K168" i="3"/>
  <c r="O172" i="3"/>
  <c r="O176" i="3"/>
  <c r="N180" i="3"/>
  <c r="N183" i="3"/>
  <c r="N186" i="3"/>
  <c r="K189" i="3"/>
  <c r="P191" i="3"/>
  <c r="N194" i="3"/>
  <c r="K197" i="3"/>
  <c r="P199" i="3"/>
  <c r="R201" i="3"/>
  <c r="L204" i="3"/>
  <c r="O206" i="3"/>
  <c r="Q208" i="3"/>
  <c r="K211" i="3"/>
  <c r="N213" i="3"/>
  <c r="P215" i="3"/>
  <c r="R217" i="3"/>
  <c r="R219" i="3"/>
  <c r="R221" i="3"/>
  <c r="R223" i="3"/>
  <c r="R225" i="3"/>
  <c r="R227" i="3"/>
  <c r="R229" i="3"/>
  <c r="P231" i="3"/>
  <c r="L233" i="3"/>
  <c r="R234" i="3"/>
  <c r="M236" i="3"/>
  <c r="K238" i="3"/>
  <c r="P239" i="3"/>
  <c r="L241" i="3"/>
  <c r="R242" i="3"/>
  <c r="M244" i="3"/>
  <c r="K246" i="3"/>
  <c r="P247" i="3"/>
  <c r="L249" i="3"/>
  <c r="R250" i="3"/>
  <c r="M252" i="3"/>
  <c r="P253" i="3"/>
  <c r="K255" i="3"/>
  <c r="M256" i="3"/>
  <c r="P257" i="3"/>
  <c r="K259" i="3"/>
  <c r="M260" i="3"/>
  <c r="P261" i="3"/>
  <c r="K263" i="3"/>
  <c r="M264" i="3"/>
  <c r="P265" i="3"/>
  <c r="K267" i="3"/>
  <c r="M268" i="3"/>
  <c r="P269" i="3"/>
  <c r="R270" i="3"/>
  <c r="K272" i="3"/>
  <c r="L273" i="3"/>
  <c r="M274" i="3"/>
  <c r="N275" i="3"/>
  <c r="O276" i="3"/>
  <c r="P277" i="3"/>
  <c r="R278" i="3"/>
  <c r="K280" i="3"/>
  <c r="L281" i="3"/>
  <c r="M282" i="3"/>
  <c r="N283" i="3"/>
  <c r="O284" i="3"/>
  <c r="P285" i="3"/>
  <c r="R286" i="3"/>
  <c r="K288" i="3"/>
  <c r="L289" i="3"/>
  <c r="M290" i="3"/>
  <c r="N291" i="3"/>
  <c r="O292" i="3"/>
  <c r="P293" i="3"/>
  <c r="R294" i="3"/>
  <c r="K296" i="3"/>
  <c r="L297" i="3"/>
  <c r="M298" i="3"/>
  <c r="N299" i="3"/>
  <c r="O300" i="3"/>
  <c r="P301" i="3"/>
  <c r="R302" i="3"/>
  <c r="K304" i="3"/>
  <c r="L305" i="3"/>
  <c r="M306" i="3"/>
  <c r="N307" i="3"/>
  <c r="O308" i="3"/>
  <c r="P309" i="3"/>
  <c r="R310" i="3"/>
  <c r="R311" i="3"/>
  <c r="R312" i="3"/>
  <c r="R313" i="3"/>
  <c r="R314" i="3"/>
  <c r="R315" i="3"/>
  <c r="R316" i="3"/>
  <c r="R317" i="3"/>
  <c r="M57" i="3"/>
  <c r="Q100" i="3"/>
  <c r="R124" i="3"/>
  <c r="P137" i="3"/>
  <c r="M149" i="3"/>
  <c r="R158" i="3"/>
  <c r="P164" i="3"/>
  <c r="O169" i="3"/>
  <c r="L174" i="3"/>
  <c r="L178" i="3"/>
  <c r="O181" i="3"/>
  <c r="O184" i="3"/>
  <c r="N187" i="3"/>
  <c r="K190" i="3"/>
  <c r="P192" i="3"/>
  <c r="N195" i="3"/>
  <c r="K198" i="3"/>
  <c r="O200" i="3"/>
  <c r="Q202" i="3"/>
  <c r="K205" i="3"/>
  <c r="N207" i="3"/>
  <c r="P209" i="3"/>
  <c r="R211" i="3"/>
  <c r="L214" i="3"/>
  <c r="O216" i="3"/>
  <c r="P218" i="3"/>
  <c r="P220" i="3"/>
  <c r="P222" i="3"/>
  <c r="P224" i="3"/>
  <c r="P226" i="3"/>
  <c r="P228" i="3"/>
  <c r="P230" i="3"/>
  <c r="L232" i="3"/>
  <c r="R233" i="3"/>
  <c r="M235" i="3"/>
  <c r="K237" i="3"/>
  <c r="P238" i="3"/>
  <c r="L240" i="3"/>
  <c r="R241" i="3"/>
  <c r="M243" i="3"/>
  <c r="K245" i="3"/>
  <c r="P246" i="3"/>
  <c r="L248" i="3"/>
  <c r="R249" i="3"/>
  <c r="M251" i="3"/>
  <c r="R252" i="3"/>
  <c r="L254" i="3"/>
  <c r="N255" i="3"/>
  <c r="R256" i="3"/>
  <c r="L258" i="3"/>
  <c r="N259" i="3"/>
  <c r="R260" i="3"/>
  <c r="L262" i="3"/>
  <c r="N263" i="3"/>
  <c r="R264" i="3"/>
  <c r="L266" i="3"/>
  <c r="N267" i="3"/>
  <c r="R268" i="3"/>
  <c r="L270" i="3"/>
  <c r="M271" i="3"/>
  <c r="N272" i="3"/>
  <c r="O273" i="3"/>
  <c r="P274" i="3"/>
  <c r="R275" i="3"/>
  <c r="K277" i="3"/>
  <c r="L278" i="3"/>
  <c r="M279" i="3"/>
  <c r="N280" i="3"/>
  <c r="O281" i="3"/>
  <c r="P282" i="3"/>
  <c r="R283" i="3"/>
  <c r="K285" i="3"/>
  <c r="L286" i="3"/>
  <c r="M287" i="3"/>
  <c r="N288" i="3"/>
  <c r="O289" i="3"/>
  <c r="P290" i="3"/>
  <c r="P107" i="3"/>
  <c r="R139" i="3"/>
  <c r="L160" i="3"/>
  <c r="O170" i="3"/>
  <c r="P178" i="3"/>
  <c r="L185" i="3"/>
  <c r="O190" i="3"/>
  <c r="R195" i="3"/>
  <c r="R200" i="3"/>
  <c r="O205" i="3"/>
  <c r="K210" i="3"/>
  <c r="P214" i="3"/>
  <c r="K219" i="3"/>
  <c r="K223" i="3"/>
  <c r="K227" i="3"/>
  <c r="K231" i="3"/>
  <c r="L234" i="3"/>
  <c r="M237" i="3"/>
  <c r="P240" i="3"/>
  <c r="R243" i="3"/>
  <c r="K247" i="3"/>
  <c r="L250" i="3"/>
  <c r="L253" i="3"/>
  <c r="R255" i="3"/>
  <c r="N258" i="3"/>
  <c r="L261" i="3"/>
  <c r="R263" i="3"/>
  <c r="N266" i="3"/>
  <c r="L269" i="3"/>
  <c r="O271" i="3"/>
  <c r="R273" i="3"/>
  <c r="L276" i="3"/>
  <c r="N278" i="3"/>
  <c r="P280" i="3"/>
  <c r="K283" i="3"/>
  <c r="M285" i="3"/>
  <c r="O287" i="3"/>
  <c r="R289" i="3"/>
  <c r="K292" i="3"/>
  <c r="K294" i="3"/>
  <c r="O295" i="3"/>
  <c r="O297" i="3"/>
  <c r="O299" i="3"/>
  <c r="L301" i="3"/>
  <c r="L303" i="3"/>
  <c r="P304" i="3"/>
  <c r="P306" i="3"/>
  <c r="P308" i="3"/>
  <c r="M310" i="3"/>
  <c r="L312" i="3"/>
  <c r="O313" i="3"/>
  <c r="M315" i="3"/>
  <c r="K317" i="3"/>
  <c r="N318" i="3"/>
  <c r="P319" i="3"/>
  <c r="R320" i="3"/>
  <c r="K322" i="3"/>
  <c r="L323" i="3"/>
  <c r="M324" i="3"/>
  <c r="N325" i="3"/>
  <c r="O326" i="3"/>
  <c r="P327" i="3"/>
  <c r="R328" i="3"/>
  <c r="K330" i="3"/>
  <c r="L331" i="3"/>
  <c r="M332" i="3"/>
  <c r="N333" i="3"/>
  <c r="O334" i="3"/>
  <c r="P335" i="3"/>
  <c r="R336" i="3"/>
  <c r="K338" i="3"/>
  <c r="L339" i="3"/>
  <c r="M340" i="3"/>
  <c r="N341" i="3"/>
  <c r="O342" i="3"/>
  <c r="P343" i="3"/>
  <c r="R344" i="3"/>
  <c r="K346" i="3"/>
  <c r="L347" i="3"/>
  <c r="M348" i="3"/>
  <c r="N349" i="3"/>
  <c r="O350" i="3"/>
  <c r="P351" i="3"/>
  <c r="R352" i="3"/>
  <c r="K354" i="3"/>
  <c r="L355" i="3"/>
  <c r="M356" i="3"/>
  <c r="N357" i="3"/>
  <c r="O358" i="3"/>
  <c r="P359" i="3"/>
  <c r="R360" i="3"/>
  <c r="K362" i="3"/>
  <c r="L363" i="3"/>
  <c r="M364" i="3"/>
  <c r="N365" i="3"/>
  <c r="O366" i="3"/>
  <c r="P367" i="3"/>
  <c r="R368" i="3"/>
  <c r="K370" i="3"/>
  <c r="L371" i="3"/>
  <c r="M372" i="3"/>
  <c r="N373" i="3"/>
  <c r="O374" i="3"/>
  <c r="P375" i="3"/>
  <c r="R376" i="3"/>
  <c r="K378" i="3"/>
  <c r="L379" i="3"/>
  <c r="M380" i="3"/>
  <c r="N381" i="3"/>
  <c r="O382" i="3"/>
  <c r="P383" i="3"/>
  <c r="R384" i="3"/>
  <c r="K386" i="3"/>
  <c r="K387" i="3"/>
  <c r="K388" i="3"/>
  <c r="N37" i="3"/>
  <c r="O120" i="3"/>
  <c r="R145" i="3"/>
  <c r="L163" i="3"/>
  <c r="R172" i="3"/>
  <c r="O180" i="3"/>
  <c r="O186" i="3"/>
  <c r="R191" i="3"/>
  <c r="L197" i="3"/>
  <c r="K202" i="3"/>
  <c r="P206" i="3"/>
  <c r="L211" i="3"/>
  <c r="Q215" i="3"/>
  <c r="K220" i="3"/>
  <c r="K224" i="3"/>
  <c r="K228" i="3"/>
  <c r="R231" i="3"/>
  <c r="K235" i="3"/>
  <c r="L238" i="3"/>
  <c r="M241" i="3"/>
  <c r="P244" i="3"/>
  <c r="R247" i="3"/>
  <c r="K251" i="3"/>
  <c r="R253" i="3"/>
  <c r="N256" i="3"/>
  <c r="L259" i="3"/>
  <c r="R261" i="3"/>
  <c r="N264" i="3"/>
  <c r="L267" i="3"/>
  <c r="R269" i="3"/>
  <c r="L272" i="3"/>
  <c r="N274" i="3"/>
  <c r="P276" i="3"/>
  <c r="K279" i="3"/>
  <c r="M281" i="3"/>
  <c r="O283" i="3"/>
  <c r="R285" i="3"/>
  <c r="L288" i="3"/>
  <c r="N290" i="3"/>
  <c r="L292" i="3"/>
  <c r="L294" i="3"/>
  <c r="L296" i="3"/>
  <c r="P297" i="3"/>
  <c r="P299" i="3"/>
  <c r="M301" i="3"/>
  <c r="M303" i="3"/>
  <c r="M305" i="3"/>
  <c r="R306" i="3"/>
  <c r="R308" i="3"/>
  <c r="N310" i="3"/>
  <c r="M312" i="3"/>
  <c r="K314" i="3"/>
  <c r="N315" i="3"/>
  <c r="L317" i="3"/>
  <c r="O318" i="3"/>
  <c r="R319" i="3"/>
  <c r="K321" i="3"/>
  <c r="L322" i="3"/>
  <c r="M323" i="3"/>
  <c r="N324" i="3"/>
  <c r="O325" i="3"/>
  <c r="P326" i="3"/>
  <c r="R327" i="3"/>
  <c r="K329" i="3"/>
  <c r="L330" i="3"/>
  <c r="M331" i="3"/>
  <c r="N332" i="3"/>
  <c r="O333" i="3"/>
  <c r="P334" i="3"/>
  <c r="R335" i="3"/>
  <c r="K337" i="3"/>
  <c r="L338" i="3"/>
  <c r="M339" i="3"/>
  <c r="N340" i="3"/>
  <c r="O341" i="3"/>
  <c r="P342" i="3"/>
  <c r="R343" i="3"/>
  <c r="K345" i="3"/>
  <c r="L346" i="3"/>
  <c r="M347" i="3"/>
  <c r="N348" i="3"/>
  <c r="O349" i="3"/>
  <c r="P350" i="3"/>
  <c r="R351" i="3"/>
  <c r="K353" i="3"/>
  <c r="L354" i="3"/>
  <c r="M355" i="3"/>
  <c r="N356" i="3"/>
  <c r="O42" i="3"/>
  <c r="Q120" i="3"/>
  <c r="Q146" i="3"/>
  <c r="N163" i="3"/>
  <c r="K173" i="3"/>
  <c r="R180" i="3"/>
  <c r="P186" i="3"/>
  <c r="K192" i="3"/>
  <c r="N197" i="3"/>
  <c r="L202" i="3"/>
  <c r="Q206" i="3"/>
  <c r="N211" i="3"/>
  <c r="R215" i="3"/>
  <c r="L220" i="3"/>
  <c r="L224" i="3"/>
  <c r="L228" i="3"/>
  <c r="K232" i="3"/>
  <c r="L235" i="3"/>
  <c r="M238" i="3"/>
  <c r="P241" i="3"/>
  <c r="R244" i="3"/>
  <c r="K248" i="3"/>
  <c r="L251" i="3"/>
  <c r="K254" i="3"/>
  <c r="P256" i="3"/>
  <c r="M259" i="3"/>
  <c r="K262" i="3"/>
  <c r="P264" i="3"/>
  <c r="M267" i="3"/>
  <c r="K270" i="3"/>
  <c r="M272" i="3"/>
  <c r="O274" i="3"/>
  <c r="R276" i="3"/>
  <c r="L279" i="3"/>
  <c r="N281" i="3"/>
  <c r="P283" i="3"/>
  <c r="K286" i="3"/>
  <c r="M288" i="3"/>
  <c r="O290" i="3"/>
  <c r="P292" i="3"/>
  <c r="M294" i="3"/>
  <c r="M296" i="3"/>
  <c r="R297" i="3"/>
  <c r="R299" i="3"/>
  <c r="R301" i="3"/>
  <c r="N303" i="3"/>
  <c r="N305" i="3"/>
  <c r="K307" i="3"/>
  <c r="K309" i="3"/>
  <c r="K311" i="3"/>
  <c r="N312" i="3"/>
  <c r="L314" i="3"/>
  <c r="O315" i="3"/>
  <c r="M317" i="3"/>
  <c r="R318" i="3"/>
  <c r="K320" i="3"/>
  <c r="L321" i="3"/>
  <c r="M322" i="3"/>
  <c r="N323" i="3"/>
  <c r="O324" i="3"/>
  <c r="P325" i="3"/>
  <c r="R326" i="3"/>
  <c r="K328" i="3"/>
  <c r="L329" i="3"/>
  <c r="M330" i="3"/>
  <c r="N331" i="3"/>
  <c r="O332" i="3"/>
  <c r="P333" i="3"/>
  <c r="R334" i="3"/>
  <c r="K336" i="3"/>
  <c r="L337" i="3"/>
  <c r="M338" i="3"/>
  <c r="N339" i="3"/>
  <c r="O340" i="3"/>
  <c r="P341" i="3"/>
  <c r="R342" i="3"/>
  <c r="K344" i="3"/>
  <c r="L345" i="3"/>
  <c r="M346" i="3"/>
  <c r="N347" i="3"/>
  <c r="O348" i="3"/>
  <c r="P349" i="3"/>
  <c r="R350" i="3"/>
  <c r="K352" i="3"/>
  <c r="L353" i="3"/>
  <c r="M354" i="3"/>
  <c r="N355" i="3"/>
  <c r="O356" i="3"/>
  <c r="P357" i="3"/>
  <c r="R358" i="3"/>
  <c r="K360" i="3"/>
  <c r="L361" i="3"/>
  <c r="M362" i="3"/>
  <c r="N363" i="3"/>
  <c r="O364" i="3"/>
  <c r="P365" i="3"/>
  <c r="R366" i="3"/>
  <c r="K368" i="3"/>
  <c r="L369" i="3"/>
  <c r="M370" i="3"/>
  <c r="N371" i="3"/>
  <c r="O372" i="3"/>
  <c r="P373" i="3"/>
  <c r="R374" i="3"/>
  <c r="K376" i="3"/>
  <c r="L377" i="3"/>
  <c r="M378" i="3"/>
  <c r="N379" i="3"/>
  <c r="O380" i="3"/>
  <c r="P381" i="3"/>
  <c r="R382" i="3"/>
  <c r="K384" i="3"/>
  <c r="L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63" i="3"/>
  <c r="K126" i="3"/>
  <c r="N151" i="3"/>
  <c r="O165" i="3"/>
  <c r="R174" i="3"/>
  <c r="K182" i="3"/>
  <c r="P187" i="3"/>
  <c r="K193" i="3"/>
  <c r="N198" i="3"/>
  <c r="K203" i="3"/>
  <c r="P207" i="3"/>
  <c r="L212" i="3"/>
  <c r="Q216" i="3"/>
  <c r="R220" i="3"/>
  <c r="R224" i="3"/>
  <c r="R228" i="3"/>
  <c r="M232" i="3"/>
  <c r="P235" i="3"/>
  <c r="R238" i="3"/>
  <c r="K242" i="3"/>
  <c r="L245" i="3"/>
  <c r="M248" i="3"/>
  <c r="P251" i="3"/>
  <c r="M254" i="3"/>
  <c r="K257" i="3"/>
  <c r="P259" i="3"/>
  <c r="M262" i="3"/>
  <c r="K265" i="3"/>
  <c r="P267" i="3"/>
  <c r="M270" i="3"/>
  <c r="O272" i="3"/>
  <c r="R274" i="3"/>
  <c r="L277" i="3"/>
  <c r="N279" i="3"/>
  <c r="P281" i="3"/>
  <c r="K284" i="3"/>
  <c r="M286" i="3"/>
  <c r="O288" i="3"/>
  <c r="R290" i="3"/>
  <c r="R292" i="3"/>
  <c r="N294" i="3"/>
  <c r="N296" i="3"/>
  <c r="N298" i="3"/>
  <c r="K300" i="3"/>
  <c r="K302" i="3"/>
  <c r="O303" i="3"/>
  <c r="O305" i="3"/>
  <c r="O307" i="3"/>
  <c r="L309" i="3"/>
  <c r="L311" i="3"/>
  <c r="O312" i="3"/>
  <c r="M314" i="3"/>
  <c r="K316" i="3"/>
  <c r="N317" i="3"/>
  <c r="K319" i="3"/>
  <c r="L320" i="3"/>
  <c r="M321" i="3"/>
  <c r="N322" i="3"/>
  <c r="O323" i="3"/>
  <c r="P324" i="3"/>
  <c r="R325" i="3"/>
  <c r="K327" i="3"/>
  <c r="L328" i="3"/>
  <c r="M329" i="3"/>
  <c r="N330" i="3"/>
  <c r="O331" i="3"/>
  <c r="P332" i="3"/>
  <c r="R333" i="3"/>
  <c r="K335" i="3"/>
  <c r="L336" i="3"/>
  <c r="M337" i="3"/>
  <c r="N338" i="3"/>
  <c r="O339" i="3"/>
  <c r="P340" i="3"/>
  <c r="R341" i="3"/>
  <c r="K343" i="3"/>
  <c r="L344" i="3"/>
  <c r="M345" i="3"/>
  <c r="N346" i="3"/>
  <c r="O347" i="3"/>
  <c r="P348" i="3"/>
  <c r="R349" i="3"/>
  <c r="K351" i="3"/>
  <c r="L352" i="3"/>
  <c r="M353" i="3"/>
  <c r="N354" i="3"/>
  <c r="O355" i="3"/>
  <c r="P356" i="3"/>
  <c r="L90" i="3"/>
  <c r="M133" i="3"/>
  <c r="O156" i="3"/>
  <c r="M168" i="3"/>
  <c r="K177" i="3"/>
  <c r="P183" i="3"/>
  <c r="L189" i="3"/>
  <c r="O194" i="3"/>
  <c r="Q199" i="3"/>
  <c r="N204" i="3"/>
  <c r="R208" i="3"/>
  <c r="O213" i="3"/>
  <c r="K218" i="3"/>
  <c r="K222" i="3"/>
  <c r="K226" i="3"/>
  <c r="K230" i="3"/>
  <c r="M233" i="3"/>
  <c r="P236" i="3"/>
  <c r="R239" i="3"/>
  <c r="K243" i="3"/>
  <c r="L246" i="3"/>
  <c r="M249" i="3"/>
  <c r="N252" i="3"/>
  <c r="L255" i="3"/>
  <c r="R257" i="3"/>
  <c r="N260" i="3"/>
  <c r="L263" i="3"/>
  <c r="R265" i="3"/>
  <c r="N268" i="3"/>
  <c r="K271" i="3"/>
  <c r="M273" i="3"/>
  <c r="O275" i="3"/>
  <c r="R277" i="3"/>
  <c r="L280" i="3"/>
  <c r="N282" i="3"/>
  <c r="P284" i="3"/>
  <c r="K287" i="3"/>
  <c r="M289" i="3"/>
  <c r="O291" i="3"/>
  <c r="L293" i="3"/>
  <c r="L295" i="3"/>
  <c r="P296" i="3"/>
  <c r="P298" i="3"/>
  <c r="P300" i="3"/>
  <c r="M302" i="3"/>
  <c r="M304" i="3"/>
  <c r="R305" i="3"/>
  <c r="R307" i="3"/>
  <c r="R309" i="3"/>
  <c r="N311" i="3"/>
  <c r="L313" i="3"/>
  <c r="O314" i="3"/>
  <c r="M316" i="3"/>
  <c r="K318" i="3"/>
  <c r="M319" i="3"/>
  <c r="N320" i="3"/>
  <c r="O321" i="3"/>
  <c r="P322" i="3"/>
  <c r="R323" i="3"/>
  <c r="K325" i="3"/>
  <c r="L326" i="3"/>
  <c r="M327" i="3"/>
  <c r="N328" i="3"/>
  <c r="O329" i="3"/>
  <c r="P330" i="3"/>
  <c r="R331" i="3"/>
  <c r="K333" i="3"/>
  <c r="L334" i="3"/>
  <c r="M335" i="3"/>
  <c r="N336" i="3"/>
  <c r="O337" i="3"/>
  <c r="P338" i="3"/>
  <c r="R339" i="3"/>
  <c r="K341" i="3"/>
  <c r="L342" i="3"/>
  <c r="M343" i="3"/>
  <c r="N344" i="3"/>
  <c r="O345" i="3"/>
  <c r="P346" i="3"/>
  <c r="R347" i="3"/>
  <c r="K349" i="3"/>
  <c r="L350" i="3"/>
  <c r="M351" i="3"/>
  <c r="N352" i="3"/>
  <c r="O353" i="3"/>
  <c r="P354" i="3"/>
  <c r="R355" i="3"/>
  <c r="K357" i="3"/>
  <c r="L358" i="3"/>
  <c r="M359" i="3"/>
  <c r="N360" i="3"/>
  <c r="O361" i="3"/>
  <c r="P362" i="3"/>
  <c r="R363" i="3"/>
  <c r="K365" i="3"/>
  <c r="L366" i="3"/>
  <c r="M367" i="3"/>
  <c r="N368" i="3"/>
  <c r="O369" i="3"/>
  <c r="P370" i="3"/>
  <c r="R371" i="3"/>
  <c r="K373" i="3"/>
  <c r="L374" i="3"/>
  <c r="M375" i="3"/>
  <c r="N376" i="3"/>
  <c r="O377" i="3"/>
  <c r="P378" i="3"/>
  <c r="R379" i="3"/>
  <c r="K381" i="3"/>
  <c r="L382" i="3"/>
  <c r="M383" i="3"/>
  <c r="N384" i="3"/>
  <c r="O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156" i="3"/>
  <c r="L182" i="3"/>
  <c r="P195" i="3"/>
  <c r="K209" i="3"/>
  <c r="K221" i="3"/>
  <c r="R230" i="3"/>
  <c r="K240" i="3"/>
  <c r="P248" i="3"/>
  <c r="P255" i="3"/>
  <c r="M263" i="3"/>
  <c r="N270" i="3"/>
  <c r="K276" i="3"/>
  <c r="O282" i="3"/>
  <c r="P288" i="3"/>
  <c r="R293" i="3"/>
  <c r="R298" i="3"/>
  <c r="L304" i="3"/>
  <c r="L308" i="3"/>
  <c r="M313" i="3"/>
  <c r="O317" i="3"/>
  <c r="P320" i="3"/>
  <c r="K324" i="3"/>
  <c r="L327" i="3"/>
  <c r="R329" i="3"/>
  <c r="L333" i="3"/>
  <c r="M336" i="3"/>
  <c r="K339" i="3"/>
  <c r="M342" i="3"/>
  <c r="N345" i="3"/>
  <c r="L348" i="3"/>
  <c r="N351" i="3"/>
  <c r="O354" i="3"/>
  <c r="M357" i="3"/>
  <c r="L359" i="3"/>
  <c r="K361" i="3"/>
  <c r="R362" i="3"/>
  <c r="P364" i="3"/>
  <c r="N366" i="3"/>
  <c r="M368" i="3"/>
  <c r="L370" i="3"/>
  <c r="K372" i="3"/>
  <c r="R373" i="3"/>
  <c r="O375" i="3"/>
  <c r="N377" i="3"/>
  <c r="M379" i="3"/>
  <c r="L381" i="3"/>
  <c r="K383" i="3"/>
  <c r="P384" i="3"/>
  <c r="O386" i="3"/>
  <c r="L388" i="3"/>
  <c r="O389" i="3"/>
  <c r="R390" i="3"/>
  <c r="L392" i="3"/>
  <c r="O393" i="3"/>
  <c r="R394" i="3"/>
  <c r="L396" i="3"/>
  <c r="O397" i="3"/>
  <c r="R398" i="3"/>
  <c r="L400" i="3"/>
  <c r="O401" i="3"/>
  <c r="R402" i="3"/>
  <c r="L404" i="3"/>
  <c r="O405" i="3"/>
  <c r="R406" i="3"/>
  <c r="L408" i="3"/>
  <c r="O409" i="3"/>
  <c r="R410" i="3"/>
  <c r="L412" i="3"/>
  <c r="O413" i="3"/>
  <c r="R414" i="3"/>
  <c r="L416" i="3"/>
  <c r="O417" i="3"/>
  <c r="R418" i="3"/>
  <c r="L420" i="3"/>
  <c r="O421" i="3"/>
  <c r="R422" i="3"/>
  <c r="L424" i="3"/>
  <c r="O425" i="3"/>
  <c r="R426" i="3"/>
  <c r="L428" i="3"/>
  <c r="O429" i="3"/>
  <c r="R430" i="3"/>
  <c r="L432" i="3"/>
  <c r="O433" i="3"/>
  <c r="R434" i="3"/>
  <c r="L436" i="3"/>
  <c r="O437" i="3"/>
  <c r="R438" i="3"/>
  <c r="L440" i="3"/>
  <c r="M441" i="3"/>
  <c r="N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K68" i="3"/>
  <c r="N159" i="3"/>
  <c r="R183" i="3"/>
  <c r="O198" i="3"/>
  <c r="R209" i="3"/>
  <c r="L222" i="3"/>
  <c r="P232" i="3"/>
  <c r="M240" i="3"/>
  <c r="P249" i="3"/>
  <c r="L257" i="3"/>
  <c r="P263" i="3"/>
  <c r="L271" i="3"/>
  <c r="M277" i="3"/>
  <c r="R282" i="3"/>
  <c r="N289" i="3"/>
  <c r="K295" i="3"/>
  <c r="K299" i="3"/>
  <c r="N304" i="3"/>
  <c r="M309" i="3"/>
  <c r="N313" i="3"/>
  <c r="L318" i="3"/>
  <c r="N321" i="3"/>
  <c r="L324" i="3"/>
  <c r="N327" i="3"/>
  <c r="O330" i="3"/>
  <c r="M333" i="3"/>
  <c r="O336" i="3"/>
  <c r="P339" i="3"/>
  <c r="N342" i="3"/>
  <c r="P345" i="3"/>
  <c r="R348" i="3"/>
  <c r="O351" i="3"/>
  <c r="R354" i="3"/>
  <c r="O357" i="3"/>
  <c r="N359" i="3"/>
  <c r="M361" i="3"/>
  <c r="K363" i="3"/>
  <c r="R364" i="3"/>
  <c r="P366" i="3"/>
  <c r="O368" i="3"/>
  <c r="N370" i="3"/>
  <c r="L372" i="3"/>
  <c r="K374" i="3"/>
  <c r="R375" i="3"/>
  <c r="P377" i="3"/>
  <c r="O379" i="3"/>
  <c r="M381" i="3"/>
  <c r="L383" i="3"/>
  <c r="K385" i="3"/>
  <c r="Q386" i="3"/>
  <c r="N388" i="3"/>
  <c r="Q389" i="3"/>
  <c r="K391" i="3"/>
  <c r="N392" i="3"/>
  <c r="Q393" i="3"/>
  <c r="K395" i="3"/>
  <c r="N396" i="3"/>
  <c r="Q397" i="3"/>
  <c r="K399" i="3"/>
  <c r="N400" i="3"/>
  <c r="Q401" i="3"/>
  <c r="K403" i="3"/>
  <c r="N404" i="3"/>
  <c r="Q405" i="3"/>
  <c r="K407" i="3"/>
  <c r="N408" i="3"/>
  <c r="Q409" i="3"/>
  <c r="K411" i="3"/>
  <c r="N412" i="3"/>
  <c r="Q413" i="3"/>
  <c r="K415" i="3"/>
  <c r="N416" i="3"/>
  <c r="Q417" i="3"/>
  <c r="K419" i="3"/>
  <c r="N420" i="3"/>
  <c r="Q421" i="3"/>
  <c r="K423" i="3"/>
  <c r="N424" i="3"/>
  <c r="Q425" i="3"/>
  <c r="K427" i="3"/>
  <c r="N428" i="3"/>
  <c r="Q429" i="3"/>
  <c r="K431" i="3"/>
  <c r="N432" i="3"/>
  <c r="Q433" i="3"/>
  <c r="K435" i="3"/>
  <c r="N436" i="3"/>
  <c r="Q437" i="3"/>
  <c r="K439" i="3"/>
  <c r="N93" i="3"/>
  <c r="R165" i="3"/>
  <c r="K185" i="3"/>
  <c r="R199" i="3"/>
  <c r="N212" i="3"/>
  <c r="R222" i="3"/>
  <c r="P233" i="3"/>
  <c r="L242" i="3"/>
  <c r="K250" i="3"/>
  <c r="K258" i="3"/>
  <c r="L265" i="3"/>
  <c r="N271" i="3"/>
  <c r="K278" i="3"/>
  <c r="L284" i="3"/>
  <c r="P289" i="3"/>
  <c r="M295" i="3"/>
  <c r="L300" i="3"/>
  <c r="O304" i="3"/>
  <c r="K310" i="3"/>
  <c r="N314" i="3"/>
  <c r="M318" i="3"/>
  <c r="P321" i="3"/>
  <c r="R324" i="3"/>
  <c r="O327" i="3"/>
  <c r="R330" i="3"/>
  <c r="K334" i="3"/>
  <c r="P336" i="3"/>
  <c r="K340" i="3"/>
  <c r="L343" i="3"/>
  <c r="R345" i="3"/>
  <c r="L349" i="3"/>
  <c r="M352" i="3"/>
  <c r="K355" i="3"/>
  <c r="R357" i="3"/>
  <c r="O359" i="3"/>
  <c r="N361" i="3"/>
  <c r="M363" i="3"/>
  <c r="L365" i="3"/>
  <c r="K367" i="3"/>
  <c r="P368" i="3"/>
  <c r="O370" i="3"/>
  <c r="N372" i="3"/>
  <c r="M374" i="3"/>
  <c r="L376" i="3"/>
  <c r="R377" i="3"/>
  <c r="P379" i="3"/>
  <c r="O381" i="3"/>
  <c r="N383" i="3"/>
  <c r="M385" i="3"/>
  <c r="R386" i="3"/>
  <c r="O388" i="3"/>
  <c r="R389" i="3"/>
  <c r="L391" i="3"/>
  <c r="O392" i="3"/>
  <c r="R393" i="3"/>
  <c r="L395" i="3"/>
  <c r="O396" i="3"/>
  <c r="R397" i="3"/>
  <c r="L399" i="3"/>
  <c r="O400" i="3"/>
  <c r="R401" i="3"/>
  <c r="L403" i="3"/>
  <c r="O404" i="3"/>
  <c r="R405" i="3"/>
  <c r="L407" i="3"/>
  <c r="O408" i="3"/>
  <c r="R409" i="3"/>
  <c r="L411" i="3"/>
  <c r="O412" i="3"/>
  <c r="R413" i="3"/>
  <c r="L415" i="3"/>
  <c r="O416" i="3"/>
  <c r="R417" i="3"/>
  <c r="L419" i="3"/>
  <c r="O420" i="3"/>
  <c r="R421" i="3"/>
  <c r="L423" i="3"/>
  <c r="O424" i="3"/>
  <c r="R425" i="3"/>
  <c r="L427" i="3"/>
  <c r="O428" i="3"/>
  <c r="O107" i="3"/>
  <c r="N168" i="3"/>
  <c r="R187" i="3"/>
  <c r="Q200" i="3"/>
  <c r="P213" i="3"/>
  <c r="K225" i="3"/>
  <c r="K234" i="3"/>
  <c r="L243" i="3"/>
  <c r="R251" i="3"/>
  <c r="M258" i="3"/>
  <c r="K266" i="3"/>
  <c r="P272" i="3"/>
  <c r="M278" i="3"/>
  <c r="R284" i="3"/>
  <c r="K291" i="3"/>
  <c r="N295" i="3"/>
  <c r="R300" i="3"/>
  <c r="P305" i="3"/>
  <c r="L310" i="3"/>
  <c r="K315" i="3"/>
  <c r="L319" i="3"/>
  <c r="R321" i="3"/>
  <c r="L325" i="3"/>
  <c r="M328" i="3"/>
  <c r="K331" i="3"/>
  <c r="M334" i="3"/>
  <c r="N337" i="3"/>
  <c r="L340" i="3"/>
  <c r="N343" i="3"/>
  <c r="O346" i="3"/>
  <c r="M349" i="3"/>
  <c r="O352" i="3"/>
  <c r="P355" i="3"/>
  <c r="K358" i="3"/>
  <c r="R359" i="3"/>
  <c r="P361" i="3"/>
  <c r="O363" i="3"/>
  <c r="M365" i="3"/>
  <c r="L367" i="3"/>
  <c r="K369" i="3"/>
  <c r="R370" i="3"/>
  <c r="P372" i="3"/>
  <c r="N374" i="3"/>
  <c r="M376" i="3"/>
  <c r="L378" i="3"/>
  <c r="K380" i="3"/>
  <c r="R381" i="3"/>
  <c r="O383" i="3"/>
  <c r="N385" i="3"/>
  <c r="L387" i="3"/>
  <c r="Q388" i="3"/>
  <c r="K390" i="3"/>
  <c r="N391" i="3"/>
  <c r="Q392" i="3"/>
  <c r="K394" i="3"/>
  <c r="N395" i="3"/>
  <c r="Q396" i="3"/>
  <c r="K398" i="3"/>
  <c r="N399" i="3"/>
  <c r="Q400" i="3"/>
  <c r="K402" i="3"/>
  <c r="N403" i="3"/>
  <c r="Q404" i="3"/>
  <c r="K406" i="3"/>
  <c r="N407" i="3"/>
  <c r="Q408" i="3"/>
  <c r="K410" i="3"/>
  <c r="N411" i="3"/>
  <c r="Q412" i="3"/>
  <c r="K414" i="3"/>
  <c r="N415" i="3"/>
  <c r="Q416" i="3"/>
  <c r="K418" i="3"/>
  <c r="N419" i="3"/>
  <c r="Q420" i="3"/>
  <c r="K422" i="3"/>
  <c r="N423" i="3"/>
  <c r="Q424" i="3"/>
  <c r="K426" i="3"/>
  <c r="N427" i="3"/>
  <c r="Q428" i="3"/>
  <c r="K430" i="3"/>
  <c r="N431" i="3"/>
  <c r="Q432" i="3"/>
  <c r="K434" i="3"/>
  <c r="N435" i="3"/>
  <c r="Q436" i="3"/>
  <c r="K438" i="3"/>
  <c r="N439" i="3"/>
  <c r="O440" i="3"/>
  <c r="Q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O127" i="3"/>
  <c r="M170" i="3"/>
  <c r="N189" i="3"/>
  <c r="L203" i="3"/>
  <c r="O214" i="3"/>
  <c r="L226" i="3"/>
  <c r="R235" i="3"/>
  <c r="P243" i="3"/>
  <c r="P252" i="3"/>
  <c r="R259" i="3"/>
  <c r="M266" i="3"/>
  <c r="N273" i="3"/>
  <c r="O279" i="3"/>
  <c r="L285" i="3"/>
  <c r="P291" i="3"/>
  <c r="O296" i="3"/>
  <c r="K301" i="3"/>
  <c r="N306" i="3"/>
  <c r="M311" i="3"/>
  <c r="L315" i="3"/>
  <c r="N319" i="3"/>
  <c r="O322" i="3"/>
  <c r="M325" i="3"/>
  <c r="O328" i="3"/>
  <c r="P331" i="3"/>
  <c r="N334" i="3"/>
  <c r="P337" i="3"/>
  <c r="R340" i="3"/>
  <c r="O343" i="3"/>
  <c r="R346" i="3"/>
  <c r="K350" i="3"/>
  <c r="P352" i="3"/>
  <c r="K356" i="3"/>
  <c r="M358" i="3"/>
  <c r="L360" i="3"/>
  <c r="R361" i="3"/>
  <c r="P363" i="3"/>
  <c r="O365" i="3"/>
  <c r="N367" i="3"/>
  <c r="M369" i="3"/>
  <c r="K371" i="3"/>
  <c r="R372" i="3"/>
  <c r="P374" i="3"/>
  <c r="O376" i="3"/>
  <c r="N378" i="3"/>
  <c r="L380" i="3"/>
  <c r="K382" i="3"/>
  <c r="R383" i="3"/>
  <c r="P385" i="3"/>
  <c r="N387" i="3"/>
  <c r="R388" i="3"/>
  <c r="L390" i="3"/>
  <c r="O391" i="3"/>
  <c r="R392" i="3"/>
  <c r="L394" i="3"/>
  <c r="O395" i="3"/>
  <c r="R396" i="3"/>
  <c r="L398" i="3"/>
  <c r="O399" i="3"/>
  <c r="R400" i="3"/>
  <c r="L402" i="3"/>
  <c r="O403" i="3"/>
  <c r="R404" i="3"/>
  <c r="L406" i="3"/>
  <c r="O407" i="3"/>
  <c r="R408" i="3"/>
  <c r="L410" i="3"/>
  <c r="O411" i="3"/>
  <c r="R412" i="3"/>
  <c r="L414" i="3"/>
  <c r="O415" i="3"/>
  <c r="R416" i="3"/>
  <c r="L418" i="3"/>
  <c r="O419" i="3"/>
  <c r="R420" i="3"/>
  <c r="L422" i="3"/>
  <c r="O423" i="3"/>
  <c r="R424" i="3"/>
  <c r="L426" i="3"/>
  <c r="O427" i="3"/>
  <c r="R428" i="3"/>
  <c r="L430" i="3"/>
  <c r="O431" i="3"/>
  <c r="R432" i="3"/>
  <c r="L434" i="3"/>
  <c r="O435" i="3"/>
  <c r="R436" i="3"/>
  <c r="L438" i="3"/>
  <c r="O439" i="3"/>
  <c r="Q440" i="3"/>
  <c r="R441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4" i="3"/>
  <c r="K401" i="3"/>
  <c r="Q403" i="3"/>
  <c r="K405" i="3"/>
  <c r="Q407" i="3"/>
  <c r="K409" i="3"/>
  <c r="O134" i="3"/>
  <c r="L175" i="3"/>
  <c r="N190" i="3"/>
  <c r="O204" i="3"/>
  <c r="R216" i="3"/>
  <c r="R226" i="3"/>
  <c r="R236" i="3"/>
  <c r="M245" i="3"/>
  <c r="K253" i="3"/>
  <c r="P260" i="3"/>
  <c r="R267" i="3"/>
  <c r="P273" i="3"/>
  <c r="M280" i="3"/>
  <c r="N286" i="3"/>
  <c r="R291" i="3"/>
  <c r="M297" i="3"/>
  <c r="L302" i="3"/>
  <c r="O306" i="3"/>
  <c r="O311" i="3"/>
  <c r="L316" i="3"/>
  <c r="O319" i="3"/>
  <c r="R322" i="3"/>
  <c r="K326" i="3"/>
  <c r="P328" i="3"/>
  <c r="K332" i="3"/>
  <c r="L335" i="3"/>
  <c r="R337" i="3"/>
  <c r="L341" i="3"/>
  <c r="M344" i="3"/>
  <c r="K347" i="3"/>
  <c r="M350" i="3"/>
  <c r="N353" i="3"/>
  <c r="L356" i="3"/>
  <c r="N358" i="3"/>
  <c r="M360" i="3"/>
  <c r="L362" i="3"/>
  <c r="K364" i="3"/>
  <c r="R365" i="3"/>
  <c r="O367" i="3"/>
  <c r="N369" i="3"/>
  <c r="M371" i="3"/>
  <c r="L373" i="3"/>
  <c r="K375" i="3"/>
  <c r="P376" i="3"/>
  <c r="O378" i="3"/>
  <c r="N380" i="3"/>
  <c r="M382" i="3"/>
  <c r="L384" i="3"/>
  <c r="R385" i="3"/>
  <c r="O387" i="3"/>
  <c r="K389" i="3"/>
  <c r="N390" i="3"/>
  <c r="Q391" i="3"/>
  <c r="K393" i="3"/>
  <c r="N394" i="3"/>
  <c r="Q395" i="3"/>
  <c r="K397" i="3"/>
  <c r="N398" i="3"/>
  <c r="Q399" i="3"/>
  <c r="N402" i="3"/>
  <c r="N406" i="3"/>
  <c r="N410" i="3"/>
  <c r="L20" i="3"/>
  <c r="Q17" i="3"/>
  <c r="O15" i="3"/>
  <c r="M13" i="3"/>
  <c r="R10" i="3"/>
  <c r="L21" i="3"/>
  <c r="R19" i="3"/>
  <c r="Q18" i="3"/>
  <c r="P17" i="3"/>
  <c r="O16" i="3"/>
  <c r="N15" i="3"/>
  <c r="M14" i="3"/>
  <c r="L13" i="3"/>
  <c r="R11" i="3"/>
  <c r="Q10" i="3"/>
  <c r="P9" i="3"/>
  <c r="O8" i="3"/>
  <c r="N7" i="3"/>
  <c r="M6" i="3"/>
  <c r="L5" i="3"/>
  <c r="R497" i="3"/>
  <c r="Q496" i="3"/>
  <c r="P495" i="3"/>
  <c r="O494" i="3"/>
  <c r="N493" i="3"/>
  <c r="M492" i="3"/>
  <c r="L491" i="3"/>
  <c r="R489" i="3"/>
  <c r="Q488" i="3"/>
  <c r="P487" i="3"/>
  <c r="O486" i="3"/>
  <c r="N485" i="3"/>
  <c r="M484" i="3"/>
  <c r="L483" i="3"/>
  <c r="R481" i="3"/>
  <c r="Q480" i="3"/>
  <c r="P479" i="3"/>
  <c r="O478" i="3"/>
  <c r="N477" i="3"/>
  <c r="M476" i="3"/>
  <c r="L475" i="3"/>
  <c r="R473" i="3"/>
  <c r="Q472" i="3"/>
  <c r="P471" i="3"/>
  <c r="O470" i="3"/>
  <c r="N469" i="3"/>
  <c r="M468" i="3"/>
  <c r="R466" i="3"/>
  <c r="P465" i="3"/>
  <c r="M464" i="3"/>
  <c r="R462" i="3"/>
  <c r="P461" i="3"/>
  <c r="M460" i="3"/>
  <c r="R458" i="3"/>
  <c r="P457" i="3"/>
  <c r="M456" i="3"/>
  <c r="Q454" i="3"/>
  <c r="M453" i="3"/>
  <c r="P451" i="3"/>
  <c r="L450" i="3"/>
  <c r="N448" i="3"/>
  <c r="Q446" i="3"/>
  <c r="M445" i="3"/>
  <c r="P443" i="3"/>
  <c r="K442" i="3"/>
  <c r="K440" i="3"/>
  <c r="N437" i="3"/>
  <c r="Q434" i="3"/>
  <c r="K432" i="3"/>
  <c r="N429" i="3"/>
  <c r="N426" i="3"/>
  <c r="O422" i="3"/>
  <c r="Q418" i="3"/>
  <c r="Q415" i="3"/>
  <c r="R411" i="3"/>
  <c r="Q406" i="3"/>
  <c r="N401" i="3"/>
  <c r="K396" i="3"/>
  <c r="Q390" i="3"/>
  <c r="O384" i="3"/>
  <c r="M377" i="3"/>
  <c r="R369" i="3"/>
  <c r="O362" i="3"/>
  <c r="R353" i="3"/>
  <c r="K342" i="3"/>
  <c r="P329" i="3"/>
  <c r="O316" i="3"/>
  <c r="O298" i="3"/>
  <c r="P275" i="3"/>
  <c r="R246" i="3"/>
  <c r="Q207" i="3"/>
  <c r="O4" i="3"/>
  <c r="M4" i="3"/>
  <c r="P4" i="3"/>
  <c r="N4" i="3"/>
  <c r="J83" i="3" l="1"/>
  <c r="J88" i="3"/>
  <c r="J118" i="3"/>
  <c r="J126" i="3"/>
  <c r="J11" i="3"/>
  <c r="J401" i="3"/>
  <c r="J7" i="3"/>
  <c r="J351" i="3"/>
  <c r="J62" i="3"/>
  <c r="J131" i="3"/>
  <c r="J63" i="3"/>
  <c r="J30" i="3"/>
  <c r="J440" i="3"/>
  <c r="J150" i="3"/>
  <c r="J488" i="3"/>
  <c r="J6" i="3"/>
  <c r="J342" i="3"/>
  <c r="J448" i="3"/>
  <c r="J311" i="3"/>
  <c r="J492" i="3"/>
  <c r="J21" i="3"/>
  <c r="J321" i="3"/>
  <c r="J145" i="3"/>
  <c r="J111" i="3"/>
  <c r="J388" i="3"/>
  <c r="J455" i="3"/>
  <c r="J10" i="3"/>
  <c r="J19" i="3"/>
  <c r="J319" i="3"/>
  <c r="J16" i="3"/>
  <c r="J8" i="3"/>
  <c r="J478" i="3"/>
  <c r="J470" i="3"/>
  <c r="J394" i="3"/>
  <c r="J68" i="3"/>
  <c r="J392" i="3"/>
  <c r="J270" i="3"/>
  <c r="J307" i="3"/>
  <c r="J336" i="3"/>
  <c r="J263" i="3"/>
  <c r="J240" i="3"/>
  <c r="J190" i="3"/>
  <c r="J273" i="3"/>
  <c r="J179" i="3"/>
  <c r="J166" i="3"/>
  <c r="J40" i="3"/>
  <c r="J66" i="3"/>
  <c r="J445" i="3"/>
  <c r="J276" i="3"/>
  <c r="J182" i="3"/>
  <c r="J339" i="3"/>
  <c r="J294" i="3"/>
  <c r="J85" i="3"/>
  <c r="J35" i="3"/>
  <c r="J87" i="3"/>
  <c r="J464" i="3"/>
  <c r="J13" i="3"/>
  <c r="J214" i="3"/>
  <c r="J400" i="3"/>
  <c r="J287" i="3"/>
  <c r="J289" i="3"/>
  <c r="J198" i="3"/>
  <c r="J160" i="3"/>
  <c r="J114" i="3"/>
  <c r="J496" i="3"/>
  <c r="J354" i="3"/>
  <c r="J271" i="3"/>
  <c r="J176" i="3"/>
  <c r="J78" i="3"/>
  <c r="J195" i="3"/>
  <c r="J208" i="3"/>
  <c r="J55" i="3"/>
  <c r="J138" i="3"/>
  <c r="J73" i="3"/>
  <c r="J127" i="3"/>
  <c r="J70" i="3"/>
  <c r="J129" i="3"/>
  <c r="J95" i="3"/>
  <c r="J28" i="3"/>
  <c r="J54" i="3"/>
  <c r="J57" i="3"/>
  <c r="J56" i="3"/>
  <c r="J96" i="3"/>
  <c r="J81" i="3"/>
  <c r="J86" i="3"/>
  <c r="J50" i="3"/>
  <c r="J32" i="3"/>
  <c r="J97" i="3"/>
  <c r="J71" i="3"/>
  <c r="J31" i="3"/>
  <c r="J48" i="3"/>
  <c r="J303" i="3"/>
  <c r="J472" i="3"/>
  <c r="J335" i="3"/>
  <c r="J279" i="3"/>
  <c r="J256" i="3"/>
  <c r="J435" i="3"/>
  <c r="J376" i="3"/>
  <c r="J363" i="3"/>
  <c r="J343" i="3"/>
  <c r="J246" i="3"/>
  <c r="J222" i="3"/>
  <c r="J278" i="3"/>
  <c r="J466" i="3"/>
  <c r="J18" i="3"/>
  <c r="J393" i="3"/>
  <c r="J322" i="3"/>
  <c r="J286" i="3"/>
  <c r="J405" i="3"/>
  <c r="J17" i="3"/>
  <c r="J471" i="3"/>
  <c r="J447" i="3"/>
  <c r="J454" i="3"/>
  <c r="J295" i="3"/>
  <c r="J417" i="3"/>
  <c r="J407" i="3"/>
  <c r="J385" i="3"/>
  <c r="J370" i="3"/>
  <c r="J355" i="3"/>
  <c r="J330" i="3"/>
  <c r="J419" i="3"/>
  <c r="J408" i="3"/>
  <c r="J304" i="3"/>
  <c r="J418" i="3"/>
  <c r="J377" i="3"/>
  <c r="J229" i="3"/>
  <c r="J103" i="3"/>
  <c r="J257" i="3"/>
  <c r="J159" i="3"/>
  <c r="J425" i="3"/>
  <c r="J414" i="3"/>
  <c r="J366" i="3"/>
  <c r="J324" i="3"/>
  <c r="J288" i="3"/>
  <c r="J424" i="3"/>
  <c r="J255" i="3"/>
  <c r="J194" i="3"/>
  <c r="J193" i="3"/>
  <c r="J439" i="3"/>
  <c r="J431" i="3"/>
  <c r="J423" i="3"/>
  <c r="J415" i="3"/>
  <c r="J399" i="3"/>
  <c r="J391" i="3"/>
  <c r="J373" i="3"/>
  <c r="J327" i="3"/>
  <c r="J368" i="3"/>
  <c r="J359" i="3"/>
  <c r="J323" i="3"/>
  <c r="J205" i="3"/>
  <c r="J192" i="3"/>
  <c r="J238" i="3"/>
  <c r="J223" i="3"/>
  <c r="J206" i="3"/>
  <c r="J144" i="3"/>
  <c r="J358" i="3"/>
  <c r="J334" i="3"/>
  <c r="J326" i="3"/>
  <c r="J310" i="3"/>
  <c r="J301" i="3"/>
  <c r="J227" i="3"/>
  <c r="J191" i="3"/>
  <c r="J162" i="3"/>
  <c r="J291" i="3"/>
  <c r="J262" i="3"/>
  <c r="J252" i="3"/>
  <c r="J239" i="3"/>
  <c r="J225" i="3"/>
  <c r="J207" i="3"/>
  <c r="J188" i="3"/>
  <c r="J259" i="3"/>
  <c r="J180" i="3"/>
  <c r="J242" i="3"/>
  <c r="J209" i="3"/>
  <c r="J177" i="3"/>
  <c r="J158" i="3"/>
  <c r="J247" i="3"/>
  <c r="J231" i="3"/>
  <c r="J215" i="3"/>
  <c r="J22" i="3"/>
  <c r="J178" i="3"/>
  <c r="J143" i="3"/>
  <c r="J161" i="3"/>
  <c r="J174" i="3"/>
  <c r="J112" i="3"/>
  <c r="J47" i="3"/>
  <c r="J163" i="3"/>
  <c r="J128" i="3"/>
  <c r="J99" i="3"/>
  <c r="J65" i="3"/>
  <c r="J24" i="3"/>
  <c r="J33" i="3"/>
  <c r="J142" i="3"/>
  <c r="J94" i="3"/>
  <c r="J79" i="3"/>
  <c r="J38" i="3"/>
  <c r="J110" i="3"/>
  <c r="J23" i="3"/>
  <c r="J113" i="3"/>
  <c r="J64" i="3"/>
  <c r="J51" i="3"/>
  <c r="J39" i="3"/>
  <c r="J102" i="3"/>
  <c r="J72" i="3"/>
  <c r="J46" i="3"/>
  <c r="J34" i="3"/>
  <c r="J89" i="3"/>
  <c r="J80" i="3"/>
  <c r="J67" i="3"/>
  <c r="J41" i="3"/>
  <c r="J49" i="3"/>
  <c r="J25" i="3"/>
  <c r="J9" i="3"/>
  <c r="J272" i="3"/>
  <c r="J369" i="3"/>
  <c r="J230" i="3"/>
  <c r="J337" i="3"/>
  <c r="J290" i="3"/>
  <c r="J75" i="3"/>
  <c r="J493" i="3"/>
  <c r="J318" i="3"/>
  <c r="J226" i="3"/>
  <c r="J367" i="3"/>
  <c r="J338" i="3"/>
  <c r="J305" i="3"/>
  <c r="J241" i="3"/>
  <c r="J432" i="3"/>
  <c r="J460" i="3"/>
  <c r="J480" i="3"/>
  <c r="J5" i="3"/>
  <c r="J459" i="3"/>
  <c r="J406" i="3"/>
  <c r="J384" i="3"/>
  <c r="J484" i="3"/>
  <c r="J14" i="3"/>
  <c r="J175" i="3"/>
  <c r="J437" i="3"/>
  <c r="J20" i="3"/>
  <c r="J383" i="3"/>
  <c r="J254" i="3"/>
  <c r="J375" i="3"/>
  <c r="J306" i="3"/>
  <c r="J302" i="3"/>
  <c r="J134" i="3"/>
  <c r="J498" i="3"/>
  <c r="J465" i="3"/>
  <c r="J449" i="3"/>
  <c r="J27" i="3"/>
  <c r="J275" i="3"/>
  <c r="J43" i="3"/>
  <c r="J352" i="3"/>
  <c r="J320" i="3"/>
  <c r="J224" i="3"/>
  <c r="J364" i="3"/>
  <c r="J450" i="3"/>
  <c r="J475" i="3"/>
  <c r="J15" i="3"/>
  <c r="J12" i="3"/>
  <c r="J482" i="3"/>
  <c r="J353" i="3"/>
  <c r="J409" i="3"/>
  <c r="J442" i="3"/>
  <c r="J165" i="3"/>
  <c r="J58" i="3"/>
  <c r="J347" i="3"/>
  <c r="J167" i="3"/>
  <c r="J171" i="3"/>
  <c r="J76" i="3"/>
  <c r="J141" i="3"/>
  <c r="J107" i="3"/>
  <c r="J77" i="3"/>
  <c r="J59" i="3"/>
  <c r="J98" i="3"/>
  <c r="J218" i="3"/>
  <c r="J413" i="3"/>
  <c r="J452" i="3"/>
  <c r="J308" i="3"/>
  <c r="J476" i="3"/>
  <c r="J312" i="3"/>
  <c r="J328" i="3"/>
  <c r="J382" i="3"/>
  <c r="J381" i="3"/>
  <c r="J427" i="3"/>
  <c r="J395" i="3"/>
  <c r="J299" i="3"/>
  <c r="J438" i="3"/>
  <c r="J422" i="3"/>
  <c r="J248" i="3"/>
  <c r="J345" i="3"/>
  <c r="J220" i="3"/>
  <c r="J386" i="3"/>
  <c r="J280" i="3"/>
  <c r="J357" i="3"/>
  <c r="J213" i="3"/>
  <c r="J184" i="3"/>
  <c r="J169" i="3"/>
  <c r="J154" i="3"/>
  <c r="J156" i="3"/>
  <c r="J119" i="3"/>
  <c r="J106" i="3"/>
  <c r="J416" i="3"/>
  <c r="J420" i="3"/>
  <c r="J428" i="3"/>
  <c r="J390" i="3"/>
  <c r="J485" i="3"/>
  <c r="J469" i="3"/>
  <c r="J461" i="3"/>
  <c r="J453" i="3"/>
  <c r="J365" i="3"/>
  <c r="J346" i="3"/>
  <c r="J380" i="3"/>
  <c r="J412" i="3"/>
  <c r="J362" i="3"/>
  <c r="J317" i="3"/>
  <c r="J344" i="3"/>
  <c r="J314" i="3"/>
  <c r="J234" i="3"/>
  <c r="J281" i="3"/>
  <c r="J260" i="3"/>
  <c r="J236" i="3"/>
  <c r="J197" i="3"/>
  <c r="J183" i="3"/>
  <c r="J172" i="3"/>
  <c r="J45" i="3"/>
  <c r="J120" i="3"/>
  <c r="J148" i="3"/>
  <c r="J140" i="3"/>
  <c r="J132" i="3"/>
  <c r="J115" i="3"/>
  <c r="J105" i="3"/>
  <c r="J91" i="3"/>
  <c r="J108" i="3"/>
  <c r="J398" i="3"/>
  <c r="J430" i="3"/>
  <c r="J251" i="3"/>
  <c r="J250" i="3"/>
  <c r="J404" i="3"/>
  <c r="J396" i="3"/>
  <c r="J468" i="3"/>
  <c r="J443" i="3"/>
  <c r="J402" i="3"/>
  <c r="J389" i="3"/>
  <c r="J361" i="3"/>
  <c r="J325" i="3"/>
  <c r="J316" i="3"/>
  <c r="J333" i="3"/>
  <c r="J292" i="3"/>
  <c r="J296" i="3"/>
  <c r="J249" i="3"/>
  <c r="J201" i="3"/>
  <c r="J164" i="3"/>
  <c r="J181" i="3"/>
  <c r="J170" i="3"/>
  <c r="J117" i="3"/>
  <c r="J155" i="3"/>
  <c r="J147" i="3"/>
  <c r="J139" i="3"/>
  <c r="J52" i="3"/>
  <c r="J116" i="3"/>
  <c r="J36" i="3"/>
  <c r="J84" i="3"/>
  <c r="J429" i="3"/>
  <c r="J477" i="3"/>
  <c r="J348" i="3"/>
  <c r="J433" i="3"/>
  <c r="J467" i="3"/>
  <c r="J350" i="3"/>
  <c r="J479" i="3"/>
  <c r="J444" i="3"/>
  <c r="J491" i="3"/>
  <c r="J451" i="3"/>
  <c r="J315" i="3"/>
  <c r="J403" i="3"/>
  <c r="J282" i="3"/>
  <c r="J457" i="3"/>
  <c r="J243" i="3"/>
  <c r="J300" i="3"/>
  <c r="J284" i="3"/>
  <c r="J265" i="3"/>
  <c r="J411" i="3"/>
  <c r="J387" i="3"/>
  <c r="J378" i="3"/>
  <c r="J360" i="3"/>
  <c r="J261" i="3"/>
  <c r="J267" i="3"/>
  <c r="J297" i="3"/>
  <c r="J268" i="3"/>
  <c r="J217" i="3"/>
  <c r="J42" i="3"/>
  <c r="J123" i="3"/>
  <c r="J90" i="3"/>
  <c r="J146" i="3"/>
  <c r="J130" i="3"/>
  <c r="J121" i="3"/>
  <c r="J101" i="3"/>
  <c r="J74" i="3"/>
  <c r="J92" i="3"/>
  <c r="J486" i="3"/>
  <c r="J495" i="3"/>
  <c r="J462" i="3"/>
  <c r="J446" i="3"/>
  <c r="J487" i="3"/>
  <c r="J436" i="3"/>
  <c r="J494" i="3"/>
  <c r="J332" i="3"/>
  <c r="J458" i="3"/>
  <c r="J410" i="3"/>
  <c r="J374" i="3"/>
  <c r="J340" i="3"/>
  <c r="J341" i="3"/>
  <c r="J434" i="3"/>
  <c r="J426" i="3"/>
  <c r="J349" i="3"/>
  <c r="J235" i="3"/>
  <c r="J219" i="3"/>
  <c r="J168" i="3"/>
  <c r="J245" i="3"/>
  <c r="J233" i="3"/>
  <c r="J244" i="3"/>
  <c r="J196" i="3"/>
  <c r="J269" i="3"/>
  <c r="J253" i="3"/>
  <c r="J237" i="3"/>
  <c r="J221" i="3"/>
  <c r="J200" i="3"/>
  <c r="J189" i="3"/>
  <c r="J157" i="3"/>
  <c r="J93" i="3"/>
  <c r="J104" i="3"/>
  <c r="J153" i="3"/>
  <c r="J137" i="3"/>
  <c r="J26" i="3"/>
  <c r="J100" i="3"/>
  <c r="J490" i="3"/>
  <c r="J313" i="3"/>
  <c r="J372" i="3"/>
  <c r="J185" i="3"/>
  <c r="J298" i="3"/>
  <c r="J203" i="3"/>
  <c r="J232" i="3"/>
  <c r="J211" i="3"/>
  <c r="J285" i="3"/>
  <c r="J266" i="3"/>
  <c r="J293" i="3"/>
  <c r="J204" i="3"/>
  <c r="J199" i="3"/>
  <c r="J125" i="3"/>
  <c r="J133" i="3"/>
  <c r="J152" i="3"/>
  <c r="J136" i="3"/>
  <c r="J44" i="3"/>
  <c r="J69" i="3"/>
  <c r="J53" i="3"/>
  <c r="J37" i="3"/>
  <c r="J29" i="3"/>
  <c r="G10" i="2"/>
  <c r="G3" i="2"/>
  <c r="G11" i="2"/>
  <c r="G12" i="2"/>
  <c r="G15" i="2"/>
  <c r="G5" i="2"/>
  <c r="G16" i="2"/>
  <c r="G6" i="2"/>
  <c r="G8" i="2"/>
  <c r="G13" i="2"/>
  <c r="G14" i="2"/>
  <c r="J463" i="3"/>
  <c r="J441" i="3"/>
  <c r="J483" i="3"/>
  <c r="J497" i="3"/>
  <c r="J489" i="3"/>
  <c r="J473" i="3"/>
  <c r="J456" i="3"/>
  <c r="J371" i="3"/>
  <c r="J356" i="3"/>
  <c r="J331" i="3"/>
  <c r="J397" i="3"/>
  <c r="J258" i="3"/>
  <c r="J309" i="3"/>
  <c r="J277" i="3"/>
  <c r="J329" i="3"/>
  <c r="J228" i="3"/>
  <c r="J379" i="3"/>
  <c r="J283" i="3"/>
  <c r="J210" i="3"/>
  <c r="J274" i="3"/>
  <c r="J264" i="3"/>
  <c r="J212" i="3"/>
  <c r="J202" i="3"/>
  <c r="J187" i="3"/>
  <c r="J216" i="3"/>
  <c r="J186" i="3"/>
  <c r="J173" i="3"/>
  <c r="J122" i="3"/>
  <c r="J149" i="3"/>
  <c r="J124" i="3"/>
  <c r="J151" i="3"/>
  <c r="J135" i="3"/>
  <c r="J60" i="3"/>
  <c r="J109" i="3"/>
  <c r="J82" i="3"/>
  <c r="J61" i="3"/>
  <c r="J474" i="3"/>
  <c r="J481" i="3"/>
  <c r="J421" i="3"/>
  <c r="J4" i="3"/>
  <c r="I2" i="3" l="1"/>
  <c r="C9" i="2" s="1"/>
  <c r="H9" i="2" s="1"/>
  <c r="H2" i="3"/>
  <c r="E2" i="3"/>
  <c r="C3" i="2" s="1"/>
  <c r="H3" i="2" s="1"/>
  <c r="F2" i="3"/>
  <c r="C11" i="2" s="1"/>
  <c r="H11" i="2" s="1"/>
  <c r="C2" i="3"/>
  <c r="C14" i="2" s="1"/>
  <c r="H14" i="2" s="1"/>
  <c r="B2" i="3"/>
  <c r="C8" i="2" s="1"/>
  <c r="H8" i="2" s="1"/>
  <c r="G2" i="3"/>
  <c r="C6" i="2" s="1"/>
  <c r="H6" i="2" s="1"/>
  <c r="D2" i="3"/>
  <c r="C10" i="2" s="1"/>
  <c r="H10" i="2" s="1"/>
  <c r="C16" i="2"/>
  <c r="H16" i="2" s="1"/>
  <c r="E2" i="2" l="1" a="1"/>
  <c r="E2" i="2" l="1"/>
  <c r="G2" i="2" s="1"/>
  <c r="D2" i="4" s="1" a="1"/>
  <c r="G6" i="4" s="1"/>
  <c r="G7" i="2"/>
  <c r="G17" i="2"/>
  <c r="G4" i="2"/>
  <c r="G9" i="2"/>
  <c r="E2" i="4" l="1" a="1"/>
  <c r="G5" i="4" s="1"/>
  <c r="G4" i="4"/>
  <c r="G9" i="4"/>
  <c r="G7" i="4"/>
  <c r="G8" i="4"/>
  <c r="D2" i="4"/>
  <c r="G2" i="4" s="1"/>
  <c r="G3" i="4"/>
  <c r="E2" i="4" l="1"/>
  <c r="D2" i="5" a="1"/>
  <c r="D2" i="5" s="1"/>
  <c r="G2" i="5" s="1"/>
  <c r="E2" i="5" a="1"/>
  <c r="E2" i="5" s="1"/>
  <c r="G3" i="5"/>
  <c r="G5" i="5"/>
  <c r="G4" i="5" l="1"/>
  <c r="D2" i="6" s="1" a="1"/>
  <c r="D2" i="6" s="1"/>
  <c r="E2" i="6" a="1"/>
  <c r="E2" i="6" s="1"/>
  <c r="G2" i="6" s="1"/>
  <c r="D2" i="7" s="1" a="1"/>
  <c r="D2" i="7" s="1"/>
  <c r="G2" i="7" s="1"/>
  <c r="G3" i="6" l="1"/>
  <c r="E2" i="7" s="1" a="1"/>
  <c r="E2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<sst xmlns="http://schemas.openxmlformats.org/spreadsheetml/2006/main" count="4149" uniqueCount="126">
  <si>
    <t>Navn</t>
  </si>
  <si>
    <t>Gruppe</t>
  </si>
  <si>
    <t>Nasjon / lag</t>
  </si>
  <si>
    <t>Plass 
(1 til 4)</t>
  </si>
  <si>
    <t>Beste treer (merk m/ 1)</t>
  </si>
  <si>
    <t>Enere</t>
  </si>
  <si>
    <t>Sortert tabell</t>
  </si>
  <si>
    <t>Toere</t>
  </si>
  <si>
    <t>Beste treere</t>
  </si>
  <si>
    <t>A</t>
  </si>
  <si>
    <t>Mexico</t>
  </si>
  <si>
    <t>Sør-Afrika</t>
  </si>
  <si>
    <t>Sør-Korea</t>
  </si>
  <si>
    <t>Tsjekkia</t>
  </si>
  <si>
    <t>B</t>
  </si>
  <si>
    <t>Canada</t>
  </si>
  <si>
    <t>Bosnia-Hercegovina</t>
  </si>
  <si>
    <t>Qatar</t>
  </si>
  <si>
    <t>Sveits</t>
  </si>
  <si>
    <t>C</t>
  </si>
  <si>
    <t>Brasil</t>
  </si>
  <si>
    <t>Marokko</t>
  </si>
  <si>
    <t>Skottland</t>
  </si>
  <si>
    <t>Haiti</t>
  </si>
  <si>
    <t>D</t>
  </si>
  <si>
    <t>USA</t>
  </si>
  <si>
    <t>Paraguay</t>
  </si>
  <si>
    <t>Australia</t>
  </si>
  <si>
    <t>Tyrkia</t>
  </si>
  <si>
    <t>E</t>
  </si>
  <si>
    <t>Tyskland</t>
  </si>
  <si>
    <t>Ecuador</t>
  </si>
  <si>
    <t>Elfenbenskysten</t>
  </si>
  <si>
    <t>Curaçao</t>
  </si>
  <si>
    <t>F</t>
  </si>
  <si>
    <t>Nederland</t>
  </si>
  <si>
    <t>Japan</t>
  </si>
  <si>
    <t>Tunisia</t>
  </si>
  <si>
    <t>Sverige</t>
  </si>
  <si>
    <t>G</t>
  </si>
  <si>
    <t>Belgia</t>
  </si>
  <si>
    <t>Iran</t>
  </si>
  <si>
    <t>Egypt</t>
  </si>
  <si>
    <t>New Zealand</t>
  </si>
  <si>
    <t>H</t>
  </si>
  <si>
    <t>Spania</t>
  </si>
  <si>
    <t>Uruguay</t>
  </si>
  <si>
    <t>Saudi-Arabia</t>
  </si>
  <si>
    <t>Kapp Verde</t>
  </si>
  <si>
    <t>I</t>
  </si>
  <si>
    <t>Frankrike</t>
  </si>
  <si>
    <t>Senegal</t>
  </si>
  <si>
    <t>Norge</t>
  </si>
  <si>
    <t>Irak</t>
  </si>
  <si>
    <t>J</t>
  </si>
  <si>
    <t>Argentina</t>
  </si>
  <si>
    <t>Algerie</t>
  </si>
  <si>
    <t>Østerrike</t>
  </si>
  <si>
    <t>Jordan</t>
  </si>
  <si>
    <t>K</t>
  </si>
  <si>
    <t>Portugal</t>
  </si>
  <si>
    <t>DR Kongo</t>
  </si>
  <si>
    <t>Usbekistan</t>
  </si>
  <si>
    <t>Colombia</t>
  </si>
  <si>
    <t>L</t>
  </si>
  <si>
    <t>England</t>
  </si>
  <si>
    <t>Kroatia</t>
  </si>
  <si>
    <t>Ghana</t>
  </si>
  <si>
    <t>Panama</t>
  </si>
  <si>
    <t>Kamp</t>
  </si>
  <si>
    <t>Hjemme</t>
  </si>
  <si>
    <t>Borte</t>
  </si>
  <si>
    <t>HB</t>
  </si>
  <si>
    <t>Vinner</t>
  </si>
  <si>
    <t>2A</t>
  </si>
  <si>
    <t>2B</t>
  </si>
  <si>
    <t>1E</t>
  </si>
  <si>
    <t>1F</t>
  </si>
  <si>
    <t>2C</t>
  </si>
  <si>
    <t>1C</t>
  </si>
  <si>
    <t>2F</t>
  </si>
  <si>
    <t>1I</t>
  </si>
  <si>
    <t>2E</t>
  </si>
  <si>
    <t>2I</t>
  </si>
  <si>
    <t>1A</t>
  </si>
  <si>
    <t>1L</t>
  </si>
  <si>
    <t>1D</t>
  </si>
  <si>
    <t>1G</t>
  </si>
  <si>
    <t>2K</t>
  </si>
  <si>
    <t>2L</t>
  </si>
  <si>
    <t>1H</t>
  </si>
  <si>
    <t>2J</t>
  </si>
  <si>
    <t>1B</t>
  </si>
  <si>
    <t>1J</t>
  </si>
  <si>
    <t>2H</t>
  </si>
  <si>
    <t>1K</t>
  </si>
  <si>
    <t>2D</t>
  </si>
  <si>
    <t>2G</t>
  </si>
  <si>
    <t>Option</t>
  </si>
  <si>
    <t>Valg av sekvens for treerne</t>
  </si>
  <si>
    <t>Dette er oversikten over alle mulige kombinasjoner av treere. Norge kan havne på 6 forskjellige steder i dette oppsettet</t>
  </si>
  <si>
    <t xml:space="preserve">Det er 330 varianter som har med 3-eren i pulje I. Hvilken kombinasjon som blir gjeldende blir altså ikke bestemt før siste kamp er ferdig. </t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</si>
  <si>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</si>
  <si>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</si>
  <si>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</si>
  <si>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</si>
  <si>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</si>
  <si>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</si>
  <si>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</si>
  <si>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</si>
  <si>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</si>
  <si>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</si>
  <si>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</si>
  <si>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</si>
  <si>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Med en tredjeplass kan vi få vinneren av en av seks grupper. Tabllen viser gruppene, og hvor mange varianter som sender oss mot respektive motstander</t>
  </si>
  <si>
    <t>Dvs. 113 av 495 kombinasjoner av 3-ere gir vinneren av Englands gruppe som motstander for 3 i vår gruppe I</t>
  </si>
  <si>
    <t>I kollone J vil det komme opp ett 8-tall. Det er den fordelingen som blir satt inn i B2:I2</t>
  </si>
  <si>
    <t>I B1:I1 står åtte vinnerlag</t>
  </si>
  <si>
    <t>Avven</t>
  </si>
  <si>
    <t>ter dit</t>
  </si>
  <si>
    <t>t valg a</t>
  </si>
  <si>
    <t>beste</t>
  </si>
  <si>
    <t>treere</t>
  </si>
  <si>
    <t>. Stå p</t>
  </si>
  <si>
    <t>å! Tipp</t>
  </si>
  <si>
    <t xml:space="preserve">v åtte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</si>
</sst>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1"/>
      <color theme="4" tint="0.79998168889431442"/>
      <name val="Aptos Narrow"/>
      <family val="2"/>
      <scheme val="minor"/>
    </font>
    <font>
      <sz val="11"/>
      <color theme="9" tint="0.79998168889431442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4" fontId="0" fillId="0" borderId="0" xfId="1" applyFont="1"/>
    <xf numFmtId="0" fontId="0" fillId="5" borderId="0" xfId="0" applyFill="1"/>
    <xf numFmtId="164" fontId="0" fillId="0" borderId="0" xfId="1" applyFont="1" applyAlignment="1" applyProtection="1">
      <alignment horizontal="center"/>
      <protection locked="0"/>
    </xf>
    <xf numFmtId="164" fontId="2" fillId="2" borderId="1" xfId="1" applyFont="1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7" xfId="0" applyFill="1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8" fillId="5" borderId="0" xfId="0" applyFont="1" applyFill="1"/>
    <xf numFmtId="0" fontId="8" fillId="0" borderId="0" xfId="0" applyFont="1"/>
    <xf numFmtId="0" fontId="4" fillId="4" borderId="0" xfId="0" applyFont="1" applyFill="1" applyAlignment="1">
      <alignment horizontal="center"/>
    </xf>
    <xf numFmtId="164" fontId="4" fillId="4" borderId="0" xfId="1" applyFont="1" applyFill="1" applyAlignment="1">
      <alignment horizontal="center"/>
    </xf>
    <xf numFmtId="164" fontId="4" fillId="4" borderId="0" xfId="1" applyFont="1" applyFill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164" fontId="0" fillId="3" borderId="3" xfId="1" applyFont="1" applyFill="1" applyBorder="1"/>
    <xf numFmtId="164" fontId="0" fillId="3" borderId="6" xfId="1" applyFont="1" applyFill="1" applyBorder="1"/>
    <xf numFmtId="164" fontId="0" fillId="0" borderId="6" xfId="1" applyFont="1" applyBorder="1"/>
    <xf numFmtId="164" fontId="0" fillId="0" borderId="9" xfId="1" applyFont="1" applyBorder="1"/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10" fillId="0" borderId="0" xfId="0" applyFont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5" fillId="6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4"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ont>
        <b val="0"/>
        <i val="0"/>
      </font>
    </dxf>
    <dxf>
      <font>
        <b val="0"/>
        <i val="0"/>
      </font>
    </dxf>
    <dxf>
      <font>
        <b val="0"/>
        <i val="0"/>
      </font>
    </dxf>
    <dxf>
      <font>
        <b val="0"/>
        <i val="0"/>
      </font>
    </dxf>
    <dxf>
      <font>
        <b val="0"/>
        <i val="0"/>
      </font>
    </dxf>
    <dxf>
      <font>
        <b val="0"/>
        <i val="0"/>
      </font>
    </dxf>
    <dxf>
      <font>
        <b val="0"/>
        <i val="0"/>
      </font>
    </dxf>
    <dxf>
      <font>
        <b val="0"/>
        <i val="0"/>
      </font>
    </dxf>
    <dxf>
      <font>
        <b val="0"/>
        <i val="0"/>
      </font>
    </dxf>
    <dxf>
      <font>
        <b val="0"/>
        <i val="0"/>
      </font>
    </dxf>
    <dxf>
      <font>
        <b val="0"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03787-2A05-4877-BCAE-4DF91F73B1FA}">
  <dimension ref="A1:M51"/>
  <sheetViews>
    <sheetView showGridLines="0" showRowColHeaders="0" tabSelected="1" topLeftCell="C1" zoomScale="80" zoomScaleNormal="80" workbookViewId="0">
      <pane xSplit="2" ySplit="3" topLeftCell="E4" activePane="bottomRight" state="frozen"/>
      <selection pane="topRight" activeCell="E1" sqref="E1"/>
      <selection pane="bottomLeft" activeCell="C4" sqref="C4"/>
      <selection pane="bottomRight" activeCell="K9" sqref="K9"/>
    </sheetView>
  </sheetViews>
  <sheetFormatPr baseColWidth="10" defaultColWidth="10.83203125" defaultRowHeight="15" x14ac:dyDescent="0.2"/>
  <cols>
    <col min="1" max="1" width="10.83203125" hidden="1" customWidth="1"/>
    <col min="2" max="2" width="11.1640625" style="1" hidden="1" customWidth="1"/>
    <col min="3" max="3" width="8.6640625" style="1" customWidth="1"/>
    <col min="4" max="4" width="24.83203125" customWidth="1"/>
    <col min="5" max="6" width="8.33203125" style="1" customWidth="1"/>
    <col min="7" max="7" width="4.1640625" customWidth="1"/>
    <col min="8" max="8" width="6.5" customWidth="1"/>
    <col min="9" max="9" width="16.5" customWidth="1"/>
    <col min="10" max="10" width="3.5" customWidth="1"/>
    <col min="11" max="11" width="15.83203125" customWidth="1"/>
    <col min="12" max="12" width="5.5" style="1" customWidth="1"/>
    <col min="13" max="13" width="20.83203125" customWidth="1"/>
  </cols>
  <sheetData>
    <row r="1" spans="1:13" x14ac:dyDescent="0.2">
      <c r="A1" s="47" t="s">
        <v>0</v>
      </c>
      <c r="B1" s="46" t="s">
        <v>1</v>
      </c>
      <c r="C1" s="46" t="s">
        <v>1</v>
      </c>
      <c r="D1" s="46" t="s">
        <v>2</v>
      </c>
      <c r="E1" s="46" t="s">
        <v>3</v>
      </c>
      <c r="F1" s="46" t="s">
        <v>4</v>
      </c>
      <c r="H1" s="7"/>
      <c r="K1" s="26" t="s">
        <v>5</v>
      </c>
      <c r="L1" s="1">
        <f>COUNTIFS(E:E,1)</f>
        <v>0</v>
      </c>
      <c r="M1" s="27" t="str">
        <f>IF(L1=12,"OK","Ikke ferdig")</f>
        <v>Ikke ferdig</v>
      </c>
    </row>
    <row r="2" spans="1:13" x14ac:dyDescent="0.2">
      <c r="A2" s="47"/>
      <c r="B2" s="46"/>
      <c r="C2" s="46"/>
      <c r="D2" s="46"/>
      <c r="E2" s="46"/>
      <c r="F2" s="46"/>
      <c r="H2" s="45" t="s">
        <v>6</v>
      </c>
      <c r="I2" s="45"/>
      <c r="K2" s="26" t="s">
        <v>7</v>
      </c>
      <c r="L2" s="1">
        <f>COUNTIFS(E:E,2)</f>
        <v>0</v>
      </c>
      <c r="M2" s="27" t="str">
        <f>IF(L2=12,"OK","Ikke ferdig")</f>
        <v>Ikke ferdig</v>
      </c>
    </row>
    <row r="3" spans="1:13" s="3" customFormat="1" ht="16" x14ac:dyDescent="0.2">
      <c r="A3" s="47"/>
      <c r="B3" s="46"/>
      <c r="C3" s="46"/>
      <c r="D3" s="46"/>
      <c r="E3" s="46"/>
      <c r="F3" s="46"/>
      <c r="H3" s="45"/>
      <c r="I3" s="45"/>
      <c r="K3" s="28" t="s">
        <v>8</v>
      </c>
      <c r="L3" s="1">
        <f>COUNTIFS(F:F,1)</f>
        <v>0</v>
      </c>
      <c r="M3" s="29" t="str">
        <f>IF(L3=8,"OK","Ikke ferdig")</f>
        <v>Ikke ferdig</v>
      </c>
    </row>
    <row r="4" spans="1:13" x14ac:dyDescent="0.2">
      <c r="A4" s="4" t="str">
        <f>IF(E4&lt;3,E4,IF(F4=1,E4,""))&amp;B4</f>
        <v>A</v>
      </c>
      <c r="B4" s="5" t="s">
        <v>9</v>
      </c>
      <c r="C4" s="41" t="str">
        <f>+$B4</f>
        <v>A</v>
      </c>
      <c r="D4" s="30" t="s">
        <v>10</v>
      </c>
      <c r="E4" s="13"/>
      <c r="F4" s="14"/>
      <c r="G4" t="str">
        <f>IF(AND(F4=1,E4&lt;&gt;3),"skjerpings på treerne","")</f>
        <v/>
      </c>
      <c r="H4" s="39" t="str">
        <f>+$B4</f>
        <v>A</v>
      </c>
      <c r="I4" s="10" t="str" cm="1">
        <f t="array" ref="I4:I7">_xlfn.SORTBY(D4:D7,E4:E7)</f>
        <v>Mexico</v>
      </c>
      <c r="K4" t="str">
        <f>+G4</f>
        <v/>
      </c>
      <c r="L4" s="8"/>
    </row>
    <row r="5" spans="1:13" x14ac:dyDescent="0.2">
      <c r="A5" s="4" t="str">
        <f t="shared" ref="A5:A51" si="0">IF(E5&lt;3,E5,IF(F5=1,E5,""))&amp;B5</f>
        <v>A</v>
      </c>
      <c r="B5" s="5" t="s">
        <v>9</v>
      </c>
      <c r="C5" s="42"/>
      <c r="D5" s="31" t="s">
        <v>11</v>
      </c>
      <c r="E5" s="15"/>
      <c r="F5" s="16"/>
      <c r="G5" t="str">
        <f t="shared" ref="G5:G51" si="1">IF(AND(F5=1,E5&lt;&gt;3),"skjerpings på treerne","")</f>
        <v/>
      </c>
      <c r="H5" s="39"/>
      <c r="I5" s="10" t="str">
        <v>Sør-Afrika</v>
      </c>
      <c r="K5" t="str">
        <f t="shared" ref="K5:K51" si="2">+G5</f>
        <v/>
      </c>
      <c r="L5" s="6"/>
    </row>
    <row r="6" spans="1:13" x14ac:dyDescent="0.2">
      <c r="A6" s="4" t="str">
        <f t="shared" si="0"/>
        <v>A</v>
      </c>
      <c r="B6" s="5" t="s">
        <v>9</v>
      </c>
      <c r="C6" s="42"/>
      <c r="D6" s="31" t="s">
        <v>12</v>
      </c>
      <c r="E6" s="15"/>
      <c r="F6" s="16"/>
      <c r="G6" t="str">
        <f t="shared" si="1"/>
        <v/>
      </c>
      <c r="H6" s="39"/>
      <c r="I6" s="21" t="str">
        <v>Sør-Korea</v>
      </c>
      <c r="K6" t="str">
        <f t="shared" si="2"/>
        <v/>
      </c>
    </row>
    <row r="7" spans="1:13" x14ac:dyDescent="0.2">
      <c r="A7" s="4" t="str">
        <f t="shared" si="0"/>
        <v>A</v>
      </c>
      <c r="B7" s="5" t="s">
        <v>9</v>
      </c>
      <c r="C7" s="42"/>
      <c r="D7" s="31" t="s">
        <v>13</v>
      </c>
      <c r="E7" s="15"/>
      <c r="F7" s="16"/>
      <c r="G7" t="str">
        <f t="shared" si="1"/>
        <v/>
      </c>
      <c r="H7" s="39"/>
      <c r="I7" s="21" t="str">
        <v>Tsjekkia</v>
      </c>
      <c r="K7" t="str">
        <f t="shared" si="2"/>
        <v/>
      </c>
    </row>
    <row r="8" spans="1:13" x14ac:dyDescent="0.2">
      <c r="A8" t="str">
        <f t="shared" si="0"/>
        <v>B</v>
      </c>
      <c r="B8" s="1" t="s">
        <v>14</v>
      </c>
      <c r="C8" s="43" t="str">
        <f>+$B8</f>
        <v>B</v>
      </c>
      <c r="D8" s="32" t="s">
        <v>15</v>
      </c>
      <c r="E8" s="17"/>
      <c r="F8" s="18"/>
      <c r="G8" t="str">
        <f t="shared" si="1"/>
        <v/>
      </c>
      <c r="H8" s="40" t="str">
        <f>+$B8</f>
        <v>B</v>
      </c>
      <c r="I8" t="str" cm="1">
        <f t="array" ref="I8:I11">_xlfn.SORTBY(D8:D11,E8:E11)</f>
        <v>Canada</v>
      </c>
      <c r="K8" t="str">
        <f t="shared" si="2"/>
        <v/>
      </c>
    </row>
    <row r="9" spans="1:13" x14ac:dyDescent="0.2">
      <c r="A9" t="str">
        <f t="shared" si="0"/>
        <v>B</v>
      </c>
      <c r="B9" s="1" t="s">
        <v>14</v>
      </c>
      <c r="C9" s="43"/>
      <c r="D9" s="32" t="s">
        <v>16</v>
      </c>
      <c r="E9" s="17"/>
      <c r="F9" s="18"/>
      <c r="G9" t="str">
        <f t="shared" si="1"/>
        <v/>
      </c>
      <c r="H9" s="40"/>
      <c r="I9" t="str">
        <v>Bosnia-Hercegovina</v>
      </c>
      <c r="K9" t="str">
        <f t="shared" si="2"/>
        <v/>
      </c>
    </row>
    <row r="10" spans="1:13" x14ac:dyDescent="0.2">
      <c r="A10" t="str">
        <f t="shared" si="0"/>
        <v>B</v>
      </c>
      <c r="B10" s="1" t="s">
        <v>14</v>
      </c>
      <c r="C10" s="43"/>
      <c r="D10" s="32" t="s">
        <v>17</v>
      </c>
      <c r="E10" s="17"/>
      <c r="F10" s="18"/>
      <c r="G10" t="str">
        <f t="shared" si="1"/>
        <v/>
      </c>
      <c r="H10" s="40"/>
      <c r="I10" s="22" t="str">
        <v>Qatar</v>
      </c>
      <c r="K10" t="str">
        <f t="shared" si="2"/>
        <v/>
      </c>
    </row>
    <row r="11" spans="1:13" x14ac:dyDescent="0.2">
      <c r="A11" t="str">
        <f t="shared" si="0"/>
        <v>B</v>
      </c>
      <c r="B11" s="1" t="s">
        <v>14</v>
      </c>
      <c r="C11" s="43"/>
      <c r="D11" s="32" t="s">
        <v>18</v>
      </c>
      <c r="E11" s="17"/>
      <c r="F11" s="18"/>
      <c r="G11" t="str">
        <f t="shared" si="1"/>
        <v/>
      </c>
      <c r="H11" s="40"/>
      <c r="I11" s="22" t="str">
        <v>Sveits</v>
      </c>
      <c r="K11" t="str">
        <f t="shared" si="2"/>
        <v/>
      </c>
    </row>
    <row r="12" spans="1:13" x14ac:dyDescent="0.2">
      <c r="A12" s="4" t="str">
        <f t="shared" si="0"/>
        <v>C</v>
      </c>
      <c r="B12" s="5" t="s">
        <v>19</v>
      </c>
      <c r="C12" s="42" t="str">
        <f>+$B12</f>
        <v>C</v>
      </c>
      <c r="D12" s="31" t="s">
        <v>20</v>
      </c>
      <c r="E12" s="15"/>
      <c r="F12" s="16"/>
      <c r="G12" t="str">
        <f t="shared" si="1"/>
        <v/>
      </c>
      <c r="H12" s="39" t="str">
        <f>+$B12</f>
        <v>C</v>
      </c>
      <c r="I12" s="10" t="str" cm="1">
        <f t="array" ref="I12:I15">_xlfn.SORTBY(D12:D15,E12:E15)</f>
        <v>Brasil</v>
      </c>
      <c r="K12" t="str">
        <f t="shared" si="2"/>
        <v/>
      </c>
    </row>
    <row r="13" spans="1:13" x14ac:dyDescent="0.2">
      <c r="A13" s="4" t="str">
        <f t="shared" si="0"/>
        <v>C</v>
      </c>
      <c r="B13" s="5" t="s">
        <v>19</v>
      </c>
      <c r="C13" s="42"/>
      <c r="D13" s="31" t="s">
        <v>21</v>
      </c>
      <c r="E13" s="15"/>
      <c r="F13" s="16"/>
      <c r="G13" t="str">
        <f t="shared" si="1"/>
        <v/>
      </c>
      <c r="H13" s="39"/>
      <c r="I13" s="10" t="str">
        <v>Marokko</v>
      </c>
      <c r="K13" t="str">
        <f t="shared" si="2"/>
        <v/>
      </c>
    </row>
    <row r="14" spans="1:13" x14ac:dyDescent="0.2">
      <c r="A14" s="4" t="str">
        <f t="shared" si="0"/>
        <v>C</v>
      </c>
      <c r="B14" s="5" t="s">
        <v>19</v>
      </c>
      <c r="C14" s="42"/>
      <c r="D14" s="31" t="s">
        <v>22</v>
      </c>
      <c r="E14" s="15"/>
      <c r="F14" s="16"/>
      <c r="G14" t="str">
        <f t="shared" si="1"/>
        <v/>
      </c>
      <c r="H14" s="39"/>
      <c r="I14" s="21" t="str">
        <v>Skottland</v>
      </c>
      <c r="K14" t="str">
        <f t="shared" si="2"/>
        <v/>
      </c>
    </row>
    <row r="15" spans="1:13" x14ac:dyDescent="0.2">
      <c r="A15" s="4" t="str">
        <f t="shared" si="0"/>
        <v>C</v>
      </c>
      <c r="B15" s="5" t="s">
        <v>19</v>
      </c>
      <c r="C15" s="42"/>
      <c r="D15" s="31" t="s">
        <v>23</v>
      </c>
      <c r="E15" s="15"/>
      <c r="F15" s="16"/>
      <c r="G15" t="str">
        <f t="shared" si="1"/>
        <v/>
      </c>
      <c r="H15" s="39"/>
      <c r="I15" s="21" t="str">
        <v>Haiti</v>
      </c>
      <c r="K15" t="str">
        <f t="shared" si="2"/>
        <v/>
      </c>
    </row>
    <row r="16" spans="1:13" x14ac:dyDescent="0.2">
      <c r="A16" t="str">
        <f t="shared" si="0"/>
        <v>D</v>
      </c>
      <c r="B16" s="1" t="s">
        <v>24</v>
      </c>
      <c r="C16" s="43" t="str">
        <f>+$B16</f>
        <v>D</v>
      </c>
      <c r="D16" s="32" t="s">
        <v>25</v>
      </c>
      <c r="E16" s="17"/>
      <c r="F16" s="18"/>
      <c r="G16" t="str">
        <f t="shared" si="1"/>
        <v/>
      </c>
      <c r="H16" s="40" t="str">
        <f>+$B16</f>
        <v>D</v>
      </c>
      <c r="I16" t="str" cm="1">
        <f t="array" ref="I16:I19">_xlfn.SORTBY(D16:D19,E16:E19)</f>
        <v>USA</v>
      </c>
      <c r="K16" t="str">
        <f t="shared" si="2"/>
        <v/>
      </c>
    </row>
    <row r="17" spans="1:11" x14ac:dyDescent="0.2">
      <c r="A17" t="str">
        <f t="shared" si="0"/>
        <v>D</v>
      </c>
      <c r="B17" s="1" t="s">
        <v>24</v>
      </c>
      <c r="C17" s="43"/>
      <c r="D17" s="32" t="s">
        <v>26</v>
      </c>
      <c r="E17" s="17"/>
      <c r="F17" s="18"/>
      <c r="G17" t="str">
        <f t="shared" si="1"/>
        <v/>
      </c>
      <c r="H17" s="40"/>
      <c r="I17" t="str">
        <v>Paraguay</v>
      </c>
      <c r="K17" t="str">
        <f t="shared" si="2"/>
        <v/>
      </c>
    </row>
    <row r="18" spans="1:11" x14ac:dyDescent="0.2">
      <c r="A18" t="str">
        <f t="shared" si="0"/>
        <v>D</v>
      </c>
      <c r="B18" s="1" t="s">
        <v>24</v>
      </c>
      <c r="C18" s="43"/>
      <c r="D18" s="32" t="s">
        <v>27</v>
      </c>
      <c r="E18" s="17"/>
      <c r="F18" s="18"/>
      <c r="G18" t="str">
        <f t="shared" si="1"/>
        <v/>
      </c>
      <c r="H18" s="40"/>
      <c r="I18" s="22" t="str">
        <v>Australia</v>
      </c>
      <c r="K18" t="str">
        <f t="shared" si="2"/>
        <v/>
      </c>
    </row>
    <row r="19" spans="1:11" x14ac:dyDescent="0.2">
      <c r="A19" t="str">
        <f t="shared" si="0"/>
        <v>D</v>
      </c>
      <c r="B19" s="1" t="s">
        <v>24</v>
      </c>
      <c r="C19" s="43"/>
      <c r="D19" s="32" t="s">
        <v>28</v>
      </c>
      <c r="E19" s="17"/>
      <c r="F19" s="18"/>
      <c r="G19" t="str">
        <f t="shared" si="1"/>
        <v/>
      </c>
      <c r="H19" s="40"/>
      <c r="I19" s="22" t="str">
        <v>Tyrkia</v>
      </c>
      <c r="K19" t="str">
        <f t="shared" si="2"/>
        <v/>
      </c>
    </row>
    <row r="20" spans="1:11" x14ac:dyDescent="0.2">
      <c r="A20" s="4" t="str">
        <f t="shared" si="0"/>
        <v>E</v>
      </c>
      <c r="B20" s="5" t="s">
        <v>29</v>
      </c>
      <c r="C20" s="42" t="str">
        <f>+$B20</f>
        <v>E</v>
      </c>
      <c r="D20" s="31" t="s">
        <v>30</v>
      </c>
      <c r="E20" s="15"/>
      <c r="F20" s="16"/>
      <c r="G20" t="str">
        <f t="shared" si="1"/>
        <v/>
      </c>
      <c r="H20" s="39" t="str">
        <f>+$B20</f>
        <v>E</v>
      </c>
      <c r="I20" s="10" t="str" cm="1">
        <f t="array" ref="I20:I23">_xlfn.SORTBY(D20:D23,E20:E23)</f>
        <v>Tyskland</v>
      </c>
      <c r="K20" t="str">
        <f t="shared" si="2"/>
        <v/>
      </c>
    </row>
    <row r="21" spans="1:11" x14ac:dyDescent="0.2">
      <c r="A21" s="4" t="str">
        <f t="shared" si="0"/>
        <v>E</v>
      </c>
      <c r="B21" s="5" t="s">
        <v>29</v>
      </c>
      <c r="C21" s="42"/>
      <c r="D21" s="31" t="s">
        <v>31</v>
      </c>
      <c r="E21" s="15"/>
      <c r="F21" s="16"/>
      <c r="G21" t="str">
        <f t="shared" si="1"/>
        <v/>
      </c>
      <c r="H21" s="39"/>
      <c r="I21" s="10" t="str">
        <v>Ecuador</v>
      </c>
      <c r="K21" t="str">
        <f t="shared" si="2"/>
        <v/>
      </c>
    </row>
    <row r="22" spans="1:11" x14ac:dyDescent="0.2">
      <c r="A22" s="4" t="str">
        <f t="shared" si="0"/>
        <v>E</v>
      </c>
      <c r="B22" s="5" t="s">
        <v>29</v>
      </c>
      <c r="C22" s="42"/>
      <c r="D22" s="31" t="s">
        <v>32</v>
      </c>
      <c r="E22" s="15"/>
      <c r="F22" s="16"/>
      <c r="G22" t="str">
        <f t="shared" si="1"/>
        <v/>
      </c>
      <c r="H22" s="39"/>
      <c r="I22" s="21" t="str">
        <v>Elfenbenskysten</v>
      </c>
      <c r="K22" t="str">
        <f t="shared" si="2"/>
        <v/>
      </c>
    </row>
    <row r="23" spans="1:11" x14ac:dyDescent="0.2">
      <c r="A23" s="4" t="str">
        <f t="shared" si="0"/>
        <v>E</v>
      </c>
      <c r="B23" s="5" t="s">
        <v>29</v>
      </c>
      <c r="C23" s="42"/>
      <c r="D23" s="31" t="s">
        <v>33</v>
      </c>
      <c r="E23" s="15"/>
      <c r="F23" s="16"/>
      <c r="G23" t="str">
        <f t="shared" si="1"/>
        <v/>
      </c>
      <c r="H23" s="39"/>
      <c r="I23" s="21" t="str">
        <v>Curaçao</v>
      </c>
      <c r="K23" t="str">
        <f t="shared" si="2"/>
        <v/>
      </c>
    </row>
    <row r="24" spans="1:11" x14ac:dyDescent="0.2">
      <c r="A24" t="str">
        <f t="shared" si="0"/>
        <v>F</v>
      </c>
      <c r="B24" s="1" t="s">
        <v>34</v>
      </c>
      <c r="C24" s="43" t="str">
        <f>+$B24</f>
        <v>F</v>
      </c>
      <c r="D24" s="32" t="s">
        <v>35</v>
      </c>
      <c r="E24" s="17"/>
      <c r="F24" s="18"/>
      <c r="G24" t="str">
        <f t="shared" si="1"/>
        <v/>
      </c>
      <c r="H24" s="40" t="str">
        <f>+$B24</f>
        <v>F</v>
      </c>
      <c r="I24" t="str" cm="1">
        <f t="array" ref="I24:I27">_xlfn.SORTBY(D24:D27,E24:E27)</f>
        <v>Nederland</v>
      </c>
      <c r="K24" t="str">
        <f t="shared" si="2"/>
        <v/>
      </c>
    </row>
    <row r="25" spans="1:11" x14ac:dyDescent="0.2">
      <c r="A25" t="str">
        <f t="shared" si="0"/>
        <v>F</v>
      </c>
      <c r="B25" s="1" t="s">
        <v>34</v>
      </c>
      <c r="C25" s="43"/>
      <c r="D25" s="32" t="s">
        <v>36</v>
      </c>
      <c r="E25" s="17"/>
      <c r="F25" s="18"/>
      <c r="G25" t="str">
        <f t="shared" si="1"/>
        <v/>
      </c>
      <c r="H25" s="40"/>
      <c r="I25" t="str">
        <v>Japan</v>
      </c>
      <c r="K25" t="str">
        <f t="shared" si="2"/>
        <v/>
      </c>
    </row>
    <row r="26" spans="1:11" x14ac:dyDescent="0.2">
      <c r="A26" t="str">
        <f t="shared" si="0"/>
        <v>F</v>
      </c>
      <c r="B26" s="1" t="s">
        <v>34</v>
      </c>
      <c r="C26" s="43"/>
      <c r="D26" s="32" t="s">
        <v>37</v>
      </c>
      <c r="E26" s="17"/>
      <c r="F26" s="18"/>
      <c r="G26" t="str">
        <f t="shared" si="1"/>
        <v/>
      </c>
      <c r="H26" s="40"/>
      <c r="I26" s="22" t="str">
        <v>Tunisia</v>
      </c>
      <c r="K26" t="str">
        <f t="shared" si="2"/>
        <v/>
      </c>
    </row>
    <row r="27" spans="1:11" x14ac:dyDescent="0.2">
      <c r="A27" t="str">
        <f t="shared" si="0"/>
        <v>F</v>
      </c>
      <c r="B27" s="1" t="s">
        <v>34</v>
      </c>
      <c r="C27" s="43"/>
      <c r="D27" s="32" t="s">
        <v>38</v>
      </c>
      <c r="E27" s="17"/>
      <c r="F27" s="18"/>
      <c r="G27" t="str">
        <f t="shared" si="1"/>
        <v/>
      </c>
      <c r="H27" s="40"/>
      <c r="I27" s="22" t="str">
        <v>Sverige</v>
      </c>
      <c r="K27" t="str">
        <f t="shared" si="2"/>
        <v/>
      </c>
    </row>
    <row r="28" spans="1:11" x14ac:dyDescent="0.2">
      <c r="A28" s="4" t="str">
        <f t="shared" si="0"/>
        <v>G</v>
      </c>
      <c r="B28" s="5" t="s">
        <v>39</v>
      </c>
      <c r="C28" s="42" t="str">
        <f>+$B28</f>
        <v>G</v>
      </c>
      <c r="D28" s="31" t="s">
        <v>40</v>
      </c>
      <c r="E28" s="15"/>
      <c r="F28" s="16"/>
      <c r="G28" t="str">
        <f t="shared" si="1"/>
        <v/>
      </c>
      <c r="H28" s="39" t="str">
        <f>+$B28</f>
        <v>G</v>
      </c>
      <c r="I28" s="10" t="str" cm="1">
        <f t="array" ref="I28:I31">_xlfn.SORTBY(D28:D31,E28:E31)</f>
        <v>Belgia</v>
      </c>
      <c r="K28" t="str">
        <f t="shared" si="2"/>
        <v/>
      </c>
    </row>
    <row r="29" spans="1:11" x14ac:dyDescent="0.2">
      <c r="A29" s="4" t="str">
        <f t="shared" si="0"/>
        <v>G</v>
      </c>
      <c r="B29" s="5" t="s">
        <v>39</v>
      </c>
      <c r="C29" s="42"/>
      <c r="D29" s="31" t="s">
        <v>41</v>
      </c>
      <c r="E29" s="15"/>
      <c r="F29" s="16"/>
      <c r="G29" t="str">
        <f t="shared" si="1"/>
        <v/>
      </c>
      <c r="H29" s="39"/>
      <c r="I29" s="10" t="str">
        <v>Iran</v>
      </c>
      <c r="K29" t="str">
        <f t="shared" si="2"/>
        <v/>
      </c>
    </row>
    <row r="30" spans="1:11" x14ac:dyDescent="0.2">
      <c r="A30" s="4" t="str">
        <f t="shared" si="0"/>
        <v>G</v>
      </c>
      <c r="B30" s="5" t="s">
        <v>39</v>
      </c>
      <c r="C30" s="42"/>
      <c r="D30" s="31" t="s">
        <v>42</v>
      </c>
      <c r="E30" s="15"/>
      <c r="F30" s="16"/>
      <c r="G30" t="str">
        <f t="shared" si="1"/>
        <v/>
      </c>
      <c r="H30" s="39"/>
      <c r="I30" s="21" t="str">
        <v>Egypt</v>
      </c>
      <c r="K30" t="str">
        <f t="shared" si="2"/>
        <v/>
      </c>
    </row>
    <row r="31" spans="1:11" x14ac:dyDescent="0.2">
      <c r="A31" s="4" t="str">
        <f t="shared" si="0"/>
        <v>G</v>
      </c>
      <c r="B31" s="5" t="s">
        <v>39</v>
      </c>
      <c r="C31" s="42"/>
      <c r="D31" s="31" t="s">
        <v>43</v>
      </c>
      <c r="E31" s="15"/>
      <c r="F31" s="16"/>
      <c r="G31" t="str">
        <f t="shared" si="1"/>
        <v/>
      </c>
      <c r="H31" s="39"/>
      <c r="I31" s="21" t="str">
        <v>New Zealand</v>
      </c>
      <c r="K31" t="str">
        <f t="shared" si="2"/>
        <v/>
      </c>
    </row>
    <row r="32" spans="1:11" x14ac:dyDescent="0.2">
      <c r="A32" t="str">
        <f t="shared" si="0"/>
        <v>H</v>
      </c>
      <c r="B32" s="1" t="s">
        <v>44</v>
      </c>
      <c r="C32" s="43" t="str">
        <f>+$B32</f>
        <v>H</v>
      </c>
      <c r="D32" s="32" t="s">
        <v>45</v>
      </c>
      <c r="E32" s="17"/>
      <c r="F32" s="18"/>
      <c r="G32" t="str">
        <f t="shared" si="1"/>
        <v/>
      </c>
      <c r="H32" s="40" t="str">
        <f>+$B32</f>
        <v>H</v>
      </c>
      <c r="I32" t="str" cm="1">
        <f t="array" ref="I32:I35">_xlfn.SORTBY(D32:D35,E32:E35)</f>
        <v>Spania</v>
      </c>
      <c r="K32" t="str">
        <f t="shared" si="2"/>
        <v/>
      </c>
    </row>
    <row r="33" spans="1:11" x14ac:dyDescent="0.2">
      <c r="A33" t="str">
        <f t="shared" si="0"/>
        <v>H</v>
      </c>
      <c r="B33" s="1" t="s">
        <v>44</v>
      </c>
      <c r="C33" s="43"/>
      <c r="D33" s="32" t="s">
        <v>46</v>
      </c>
      <c r="E33" s="17"/>
      <c r="F33" s="18"/>
      <c r="G33" t="str">
        <f t="shared" si="1"/>
        <v/>
      </c>
      <c r="H33" s="40"/>
      <c r="I33" t="str">
        <v>Uruguay</v>
      </c>
      <c r="K33" t="str">
        <f t="shared" si="2"/>
        <v/>
      </c>
    </row>
    <row r="34" spans="1:11" x14ac:dyDescent="0.2">
      <c r="A34" t="str">
        <f t="shared" si="0"/>
        <v>H</v>
      </c>
      <c r="B34" s="1" t="s">
        <v>44</v>
      </c>
      <c r="C34" s="43"/>
      <c r="D34" s="32" t="s">
        <v>47</v>
      </c>
      <c r="E34" s="17"/>
      <c r="F34" s="18"/>
      <c r="G34" t="str">
        <f t="shared" si="1"/>
        <v/>
      </c>
      <c r="H34" s="40"/>
      <c r="I34" s="22" t="str">
        <v>Saudi-Arabia</v>
      </c>
      <c r="K34" t="str">
        <f t="shared" si="2"/>
        <v/>
      </c>
    </row>
    <row r="35" spans="1:11" x14ac:dyDescent="0.2">
      <c r="A35" t="str">
        <f t="shared" si="0"/>
        <v>H</v>
      </c>
      <c r="B35" s="1" t="s">
        <v>44</v>
      </c>
      <c r="C35" s="43"/>
      <c r="D35" s="32" t="s">
        <v>48</v>
      </c>
      <c r="E35" s="17"/>
      <c r="F35" s="18"/>
      <c r="G35" t="str">
        <f t="shared" si="1"/>
        <v/>
      </c>
      <c r="H35" s="40"/>
      <c r="I35" s="22" t="str">
        <v>Kapp Verde</v>
      </c>
      <c r="K35" t="str">
        <f t="shared" si="2"/>
        <v/>
      </c>
    </row>
    <row r="36" spans="1:11" x14ac:dyDescent="0.2">
      <c r="A36" s="4" t="str">
        <f t="shared" si="0"/>
        <v>I</v>
      </c>
      <c r="B36" s="5" t="s">
        <v>49</v>
      </c>
      <c r="C36" s="42" t="str">
        <f>+$B36</f>
        <v>I</v>
      </c>
      <c r="D36" s="31" t="s">
        <v>50</v>
      </c>
      <c r="E36" s="15"/>
      <c r="F36" s="16"/>
      <c r="G36" t="str">
        <f t="shared" si="1"/>
        <v/>
      </c>
      <c r="H36" s="39" t="str">
        <f>+$B36</f>
        <v>I</v>
      </c>
      <c r="I36" s="10" t="str" cm="1">
        <f t="array" ref="I36:I39">_xlfn.SORTBY(D36:D39,E36:E39)</f>
        <v>Frankrike</v>
      </c>
      <c r="K36" t="str">
        <f t="shared" si="2"/>
        <v/>
      </c>
    </row>
    <row r="37" spans="1:11" x14ac:dyDescent="0.2">
      <c r="A37" s="4" t="str">
        <f t="shared" si="0"/>
        <v>I</v>
      </c>
      <c r="B37" s="5" t="s">
        <v>49</v>
      </c>
      <c r="C37" s="42"/>
      <c r="D37" s="31" t="s">
        <v>51</v>
      </c>
      <c r="E37" s="15"/>
      <c r="F37" s="16"/>
      <c r="G37" t="str">
        <f t="shared" si="1"/>
        <v/>
      </c>
      <c r="H37" s="39"/>
      <c r="I37" s="10" t="str">
        <v>Senegal</v>
      </c>
      <c r="K37" t="str">
        <f t="shared" si="2"/>
        <v/>
      </c>
    </row>
    <row r="38" spans="1:11" x14ac:dyDescent="0.2">
      <c r="A38" s="4" t="str">
        <f t="shared" si="0"/>
        <v>I</v>
      </c>
      <c r="B38" s="5" t="s">
        <v>49</v>
      </c>
      <c r="C38" s="42"/>
      <c r="D38" s="31" t="s">
        <v>52</v>
      </c>
      <c r="E38" s="15"/>
      <c r="F38" s="16"/>
      <c r="G38" t="str">
        <f t="shared" si="1"/>
        <v/>
      </c>
      <c r="H38" s="39"/>
      <c r="I38" s="21" t="str">
        <v>Norge</v>
      </c>
      <c r="K38" t="str">
        <f t="shared" si="2"/>
        <v/>
      </c>
    </row>
    <row r="39" spans="1:11" x14ac:dyDescent="0.2">
      <c r="A39" s="4" t="str">
        <f t="shared" si="0"/>
        <v>I</v>
      </c>
      <c r="B39" s="5" t="s">
        <v>49</v>
      </c>
      <c r="C39" s="42"/>
      <c r="D39" s="31" t="s">
        <v>53</v>
      </c>
      <c r="E39" s="15"/>
      <c r="F39" s="16"/>
      <c r="G39" t="str">
        <f t="shared" si="1"/>
        <v/>
      </c>
      <c r="H39" s="39"/>
      <c r="I39" s="21" t="str">
        <v>Irak</v>
      </c>
      <c r="K39" t="str">
        <f t="shared" si="2"/>
        <v/>
      </c>
    </row>
    <row r="40" spans="1:11" x14ac:dyDescent="0.2">
      <c r="A40" t="str">
        <f t="shared" si="0"/>
        <v>J</v>
      </c>
      <c r="B40" s="1" t="s">
        <v>54</v>
      </c>
      <c r="C40" s="43" t="str">
        <f>+$B40</f>
        <v>J</v>
      </c>
      <c r="D40" s="32" t="s">
        <v>55</v>
      </c>
      <c r="E40" s="17"/>
      <c r="F40" s="18"/>
      <c r="G40" t="str">
        <f t="shared" si="1"/>
        <v/>
      </c>
      <c r="H40" s="40" t="str">
        <f>+$B40</f>
        <v>J</v>
      </c>
      <c r="I40" t="str" cm="1">
        <f t="array" ref="I40:I43">_xlfn.SORTBY(D40:D43,E40:E43)</f>
        <v>Argentina</v>
      </c>
      <c r="K40" t="str">
        <f t="shared" si="2"/>
        <v/>
      </c>
    </row>
    <row r="41" spans="1:11" x14ac:dyDescent="0.2">
      <c r="A41" t="str">
        <f t="shared" si="0"/>
        <v>J</v>
      </c>
      <c r="B41" s="1" t="s">
        <v>54</v>
      </c>
      <c r="C41" s="43"/>
      <c r="D41" s="32" t="s">
        <v>56</v>
      </c>
      <c r="E41" s="17"/>
      <c r="F41" s="18"/>
      <c r="G41" t="str">
        <f t="shared" si="1"/>
        <v/>
      </c>
      <c r="H41" s="40"/>
      <c r="I41" t="str">
        <v>Algerie</v>
      </c>
      <c r="K41" t="str">
        <f t="shared" si="2"/>
        <v/>
      </c>
    </row>
    <row r="42" spans="1:11" x14ac:dyDescent="0.2">
      <c r="A42" t="str">
        <f t="shared" si="0"/>
        <v>J</v>
      </c>
      <c r="B42" s="1" t="s">
        <v>54</v>
      </c>
      <c r="C42" s="43"/>
      <c r="D42" s="32" t="s">
        <v>57</v>
      </c>
      <c r="E42" s="17"/>
      <c r="F42" s="18"/>
      <c r="G42" t="str">
        <f t="shared" si="1"/>
        <v/>
      </c>
      <c r="H42" s="40"/>
      <c r="I42" s="22" t="str">
        <v>Østerrike</v>
      </c>
      <c r="K42" t="str">
        <f t="shared" si="2"/>
        <v/>
      </c>
    </row>
    <row r="43" spans="1:11" x14ac:dyDescent="0.2">
      <c r="A43" t="str">
        <f t="shared" si="0"/>
        <v>J</v>
      </c>
      <c r="B43" s="1" t="s">
        <v>54</v>
      </c>
      <c r="C43" s="43"/>
      <c r="D43" s="32" t="s">
        <v>58</v>
      </c>
      <c r="E43" s="17"/>
      <c r="F43" s="18"/>
      <c r="G43" t="str">
        <f t="shared" si="1"/>
        <v/>
      </c>
      <c r="H43" s="40"/>
      <c r="I43" s="22" t="str">
        <v>Jordan</v>
      </c>
      <c r="K43" t="str">
        <f t="shared" si="2"/>
        <v/>
      </c>
    </row>
    <row r="44" spans="1:11" x14ac:dyDescent="0.2">
      <c r="A44" s="4" t="str">
        <f t="shared" si="0"/>
        <v>K</v>
      </c>
      <c r="B44" s="5" t="s">
        <v>59</v>
      </c>
      <c r="C44" s="42" t="str">
        <f>+$B44</f>
        <v>K</v>
      </c>
      <c r="D44" s="31" t="s">
        <v>60</v>
      </c>
      <c r="E44" s="15"/>
      <c r="F44" s="16"/>
      <c r="G44" t="str">
        <f t="shared" si="1"/>
        <v/>
      </c>
      <c r="H44" s="39" t="str">
        <f>+$B44</f>
        <v>K</v>
      </c>
      <c r="I44" s="10" t="str" cm="1">
        <f t="array" ref="I44:I47">_xlfn.SORTBY(D44:D47,E44:E47)</f>
        <v>Portugal</v>
      </c>
      <c r="K44" t="str">
        <f t="shared" si="2"/>
        <v/>
      </c>
    </row>
    <row r="45" spans="1:11" x14ac:dyDescent="0.2">
      <c r="A45" s="4" t="str">
        <f t="shared" si="0"/>
        <v>K</v>
      </c>
      <c r="B45" s="5" t="s">
        <v>59</v>
      </c>
      <c r="C45" s="42"/>
      <c r="D45" s="31" t="s">
        <v>61</v>
      </c>
      <c r="E45" s="15"/>
      <c r="F45" s="16"/>
      <c r="G45" t="str">
        <f t="shared" si="1"/>
        <v/>
      </c>
      <c r="H45" s="39"/>
      <c r="I45" s="10" t="str">
        <v>DR Kongo</v>
      </c>
      <c r="K45" t="str">
        <f t="shared" si="2"/>
        <v/>
      </c>
    </row>
    <row r="46" spans="1:11" x14ac:dyDescent="0.2">
      <c r="A46" s="4" t="str">
        <f t="shared" si="0"/>
        <v>K</v>
      </c>
      <c r="B46" s="5" t="s">
        <v>59</v>
      </c>
      <c r="C46" s="42"/>
      <c r="D46" s="31" t="s">
        <v>62</v>
      </c>
      <c r="E46" s="15"/>
      <c r="F46" s="16"/>
      <c r="G46" t="str">
        <f t="shared" si="1"/>
        <v/>
      </c>
      <c r="H46" s="39"/>
      <c r="I46" s="21" t="str">
        <v>Usbekistan</v>
      </c>
      <c r="K46" t="str">
        <f t="shared" si="2"/>
        <v/>
      </c>
    </row>
    <row r="47" spans="1:11" x14ac:dyDescent="0.2">
      <c r="A47" s="4" t="str">
        <f t="shared" si="0"/>
        <v>K</v>
      </c>
      <c r="B47" s="5" t="s">
        <v>59</v>
      </c>
      <c r="C47" s="42"/>
      <c r="D47" s="31" t="s">
        <v>63</v>
      </c>
      <c r="E47" s="15"/>
      <c r="F47" s="16"/>
      <c r="G47" t="str">
        <f t="shared" si="1"/>
        <v/>
      </c>
      <c r="H47" s="39"/>
      <c r="I47" s="21" t="str">
        <v>Colombia</v>
      </c>
      <c r="K47" t="str">
        <f t="shared" si="2"/>
        <v/>
      </c>
    </row>
    <row r="48" spans="1:11" x14ac:dyDescent="0.2">
      <c r="A48" t="str">
        <f t="shared" si="0"/>
        <v>L</v>
      </c>
      <c r="B48" s="1" t="s">
        <v>64</v>
      </c>
      <c r="C48" s="43" t="str">
        <f>+$B48</f>
        <v>L</v>
      </c>
      <c r="D48" s="32" t="s">
        <v>65</v>
      </c>
      <c r="E48" s="17"/>
      <c r="F48" s="18"/>
      <c r="G48" t="str">
        <f t="shared" si="1"/>
        <v/>
      </c>
      <c r="H48" s="40" t="str">
        <f>+$B48</f>
        <v>L</v>
      </c>
      <c r="I48" t="str" cm="1">
        <f t="array" ref="I48:I51">_xlfn.SORTBY(D48:D51,E48:E51)</f>
        <v>England</v>
      </c>
      <c r="K48" t="str">
        <f t="shared" si="2"/>
        <v/>
      </c>
    </row>
    <row r="49" spans="1:11" x14ac:dyDescent="0.2">
      <c r="A49" t="str">
        <f t="shared" si="0"/>
        <v>L</v>
      </c>
      <c r="B49" s="1" t="s">
        <v>64</v>
      </c>
      <c r="C49" s="43"/>
      <c r="D49" s="32" t="s">
        <v>66</v>
      </c>
      <c r="E49" s="17"/>
      <c r="F49" s="18"/>
      <c r="G49" t="str">
        <f t="shared" si="1"/>
        <v/>
      </c>
      <c r="H49" s="40"/>
      <c r="I49" t="str">
        <v>Kroatia</v>
      </c>
      <c r="K49" t="str">
        <f t="shared" si="2"/>
        <v/>
      </c>
    </row>
    <row r="50" spans="1:11" x14ac:dyDescent="0.2">
      <c r="A50" t="str">
        <f t="shared" si="0"/>
        <v>L</v>
      </c>
      <c r="B50" s="1" t="s">
        <v>64</v>
      </c>
      <c r="C50" s="43"/>
      <c r="D50" s="32" t="s">
        <v>67</v>
      </c>
      <c r="E50" s="17"/>
      <c r="F50" s="18"/>
      <c r="G50" t="str">
        <f t="shared" si="1"/>
        <v/>
      </c>
      <c r="H50" s="40"/>
      <c r="I50" s="22" t="str">
        <v>Ghana</v>
      </c>
      <c r="K50" t="str">
        <f t="shared" si="2"/>
        <v/>
      </c>
    </row>
    <row r="51" spans="1:11" x14ac:dyDescent="0.2">
      <c r="A51" t="str">
        <f t="shared" si="0"/>
        <v>L</v>
      </c>
      <c r="B51" s="1" t="s">
        <v>64</v>
      </c>
      <c r="C51" s="44"/>
      <c r="D51" s="33" t="s">
        <v>68</v>
      </c>
      <c r="E51" s="19"/>
      <c r="F51" s="20"/>
      <c r="G51" t="str">
        <f t="shared" si="1"/>
        <v/>
      </c>
      <c r="H51" s="40"/>
      <c r="I51" s="22" t="str">
        <v>Panama</v>
      </c>
      <c r="K51" t="str">
        <f t="shared" si="2"/>
        <v/>
      </c>
    </row>
  </sheetData>
  <sheetProtection sheet="1" objects="1" scenarios="1"/>
  <sortState xmlns:xlrd2="http://schemas.microsoft.com/office/spreadsheetml/2017/richdata2" ref="B4:D51">
    <sortCondition ref="B4:B51"/>
  </sortState>
  <mergeCells count="31">
    <mergeCell ref="E1:E3"/>
    <mergeCell ref="D1:D3"/>
    <mergeCell ref="B1:B3"/>
    <mergeCell ref="A1:A3"/>
    <mergeCell ref="C1:C3"/>
    <mergeCell ref="H2:I3"/>
    <mergeCell ref="H4:H7"/>
    <mergeCell ref="H8:H11"/>
    <mergeCell ref="H12:H15"/>
    <mergeCell ref="F1:F3"/>
    <mergeCell ref="H16:H19"/>
    <mergeCell ref="H20:H23"/>
    <mergeCell ref="H24:H27"/>
    <mergeCell ref="H28:H31"/>
    <mergeCell ref="H32:H35"/>
    <mergeCell ref="H36:H39"/>
    <mergeCell ref="H40:H43"/>
    <mergeCell ref="H44:H47"/>
    <mergeCell ref="H48:H51"/>
    <mergeCell ref="C4:C7"/>
    <mergeCell ref="C8:C11"/>
    <mergeCell ref="C12:C15"/>
    <mergeCell ref="C16:C19"/>
    <mergeCell ref="C20:C23"/>
    <mergeCell ref="C24:C27"/>
    <mergeCell ref="C28:C31"/>
    <mergeCell ref="C32:C35"/>
    <mergeCell ref="C36:C39"/>
    <mergeCell ref="C40:C43"/>
    <mergeCell ref="C44:C47"/>
    <mergeCell ref="C48:C51"/>
  </mergeCells>
  <conditionalFormatting sqref="I6">
    <cfRule type="expression" dxfId="13" priority="15">
      <formula>SUM($F4:$F7)=1</formula>
    </cfRule>
  </conditionalFormatting>
  <conditionalFormatting sqref="I10">
    <cfRule type="expression" dxfId="12" priority="14">
      <formula>SUM($F8:$F11)=1</formula>
    </cfRule>
  </conditionalFormatting>
  <conditionalFormatting sqref="I14">
    <cfRule type="expression" dxfId="11" priority="13">
      <formula>SUM($F12:$F15)=1</formula>
    </cfRule>
  </conditionalFormatting>
  <conditionalFormatting sqref="I18">
    <cfRule type="expression" dxfId="10" priority="6">
      <formula>SUM($F16:$F19)=1</formula>
    </cfRule>
  </conditionalFormatting>
  <conditionalFormatting sqref="I22">
    <cfRule type="expression" dxfId="9" priority="11">
      <formula>SUM($F20:$F23)=1</formula>
    </cfRule>
  </conditionalFormatting>
  <conditionalFormatting sqref="I26">
    <cfRule type="expression" dxfId="8" priority="5">
      <formula>SUM($F24:$F27)=1</formula>
    </cfRule>
  </conditionalFormatting>
  <conditionalFormatting sqref="I30">
    <cfRule type="expression" dxfId="7" priority="9">
      <formula>SUM($F28:$F31)=1</formula>
    </cfRule>
  </conditionalFormatting>
  <conditionalFormatting sqref="I34">
    <cfRule type="expression" dxfId="6" priority="4">
      <formula>SUM($F32:$F35)=1</formula>
    </cfRule>
  </conditionalFormatting>
  <conditionalFormatting sqref="I38">
    <cfRule type="expression" dxfId="5" priority="8">
      <formula>SUM($F36:$F39)=1</formula>
    </cfRule>
  </conditionalFormatting>
  <conditionalFormatting sqref="I42">
    <cfRule type="expression" dxfId="4" priority="3">
      <formula>SUM($F40:$F43)=1</formula>
    </cfRule>
  </conditionalFormatting>
  <conditionalFormatting sqref="I46">
    <cfRule type="expression" dxfId="3" priority="7">
      <formula>SUM($F44:$F47)=1</formula>
    </cfRule>
  </conditionalFormatting>
  <conditionalFormatting sqref="I50">
    <cfRule type="expression" dxfId="2" priority="2">
      <formula>SUM($F48:$F51)=1</formula>
    </cfRule>
  </conditionalFormatting>
  <conditionalFormatting sqref="M1:M3">
    <cfRule type="cellIs" dxfId="1" priority="1" operator="equal">
      <formula>"OK"</formula>
    </cfRule>
  </conditionalFormatting>
  <dataValidations count="2">
    <dataValidation type="whole" allowBlank="1" showInputMessage="1" showErrorMessage="1" error="Du må legge inn 1, 2, 3 eller 4" sqref="E4:E51" xr:uid="{1113C80B-E783-41EF-9A38-F2C48BECD169}">
      <formula1>1</formula1>
      <formula2>4</formula2>
    </dataValidation>
    <dataValidation type="whole" allowBlank="1" showErrorMessage="1" error="Legg inn et 1-tall" prompt="merk beste treere" sqref="F4:F51" xr:uid="{3942E6F9-3C34-4342-B732-A4FA7FF4B266}">
      <formula1>1</formula1>
      <formula2>1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0D292-CBCD-483F-88C7-479D64C43188}">
  <dimension ref="A1:L1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2" sqref="F2"/>
    </sheetView>
  </sheetViews>
  <sheetFormatPr baseColWidth="10" defaultColWidth="10.83203125" defaultRowHeight="15" x14ac:dyDescent="0.2"/>
  <cols>
    <col min="1" max="3" width="5.5" style="1" customWidth="1"/>
    <col min="4" max="4" width="25.83203125" style="9" customWidth="1"/>
    <col min="5" max="5" width="23.5" style="9" customWidth="1"/>
    <col min="6" max="6" width="5.33203125" style="11" customWidth="1"/>
    <col min="7" max="7" width="20.5" style="9" customWidth="1"/>
  </cols>
  <sheetData>
    <row r="1" spans="1:12" x14ac:dyDescent="0.2">
      <c r="A1" s="23" t="s">
        <v>69</v>
      </c>
      <c r="B1" s="23" t="s">
        <v>44</v>
      </c>
      <c r="C1" s="23" t="s">
        <v>14</v>
      </c>
      <c r="D1" s="24" t="s">
        <v>70</v>
      </c>
      <c r="E1" s="24" t="s">
        <v>71</v>
      </c>
      <c r="F1" s="25" t="s">
        <v>72</v>
      </c>
      <c r="G1" s="24" t="s">
        <v>73</v>
      </c>
      <c r="J1" s="37"/>
      <c r="K1" s="34"/>
      <c r="L1" s="34"/>
    </row>
    <row r="2" spans="1:12" x14ac:dyDescent="0.2">
      <c r="A2" s="2">
        <v>73</v>
      </c>
      <c r="B2" s="2" t="s">
        <v>74</v>
      </c>
      <c r="C2" s="1" t="s">
        <v>75</v>
      </c>
      <c r="D2" s="9" t="str" cm="1">
        <f t="array" ref="D2:D17">_xlfn.XLOOKUP(B2:B17,Grunnspill!$A:$A,Grunnspill!$D:$D,"-")</f>
        <v>-</v>
      </c>
      <c r="E2" s="9" t="str" cm="1">
        <f t="array" ref="E2:E17">_xlfn.XLOOKUP(C2:C17,Grunnspill!$A:$A,Grunnspill!$D:$D,"-")</f>
        <v>-</v>
      </c>
      <c r="F2" s="12"/>
      <c r="G2" s="9" t="str">
        <f>IF(ISBLANK(F2),"",IF(F2="H",D2,E2))</f>
        <v/>
      </c>
      <c r="J2" s="36"/>
      <c r="K2" s="35"/>
      <c r="L2" s="35"/>
    </row>
    <row r="3" spans="1:12" x14ac:dyDescent="0.2">
      <c r="A3" s="2">
        <v>74</v>
      </c>
      <c r="B3" s="2" t="s">
        <v>76</v>
      </c>
      <c r="C3" s="1" t="str">
        <f>_xlfn.XLOOKUP('16f'!B3,Annex!$B$1:$I$1,Annex!$B$2:$I$2)</f>
        <v xml:space="preserve">v åtte  </v>
      </c>
      <c r="D3" s="9" t="str">
        <v>-</v>
      </c>
      <c r="E3" s="9" t="str">
        <v>-</v>
      </c>
      <c r="F3" s="12"/>
      <c r="G3" s="9" t="str">
        <f t="shared" ref="G3:G17" si="0">IF(ISBLANK(F3),"",IF(F3="H",D3,E3))</f>
        <v/>
      </c>
      <c r="H3" t="str">
        <f>+C3</f>
        <v xml:space="preserve">v åtte  </v>
      </c>
      <c r="J3" s="36"/>
      <c r="K3" s="35"/>
      <c r="L3" s="35"/>
    </row>
    <row r="4" spans="1:12" x14ac:dyDescent="0.2">
      <c r="A4" s="2">
        <v>75</v>
      </c>
      <c r="B4" s="2" t="s">
        <v>77</v>
      </c>
      <c r="C4" s="1" t="s">
        <v>78</v>
      </c>
      <c r="D4" s="9" t="str">
        <v>-</v>
      </c>
      <c r="E4" s="9" t="str">
        <v>-</v>
      </c>
      <c r="F4" s="12"/>
      <c r="G4" s="9" t="str">
        <f t="shared" si="0"/>
        <v/>
      </c>
      <c r="J4" s="36"/>
      <c r="K4" s="35"/>
      <c r="L4" s="35"/>
    </row>
    <row r="5" spans="1:12" x14ac:dyDescent="0.2">
      <c r="A5" s="2">
        <v>76</v>
      </c>
      <c r="B5" s="2" t="s">
        <v>79</v>
      </c>
      <c r="C5" s="1" t="s">
        <v>80</v>
      </c>
      <c r="D5" s="9" t="str">
        <v>-</v>
      </c>
      <c r="E5" s="9" t="str">
        <v>-</v>
      </c>
      <c r="F5" s="12"/>
      <c r="G5" s="9" t="str">
        <f t="shared" si="0"/>
        <v/>
      </c>
      <c r="J5" s="36"/>
      <c r="K5" s="35"/>
      <c r="L5" s="35"/>
    </row>
    <row r="6" spans="1:12" x14ac:dyDescent="0.2">
      <c r="A6" s="2">
        <v>77</v>
      </c>
      <c r="B6" s="2" t="s">
        <v>81</v>
      </c>
      <c r="C6" s="1" t="str">
        <f>_xlfn.XLOOKUP('16f'!B6,Annex!$B$1:$I$1,Annex!$B$2:$I$2)</f>
        <v>treere</v>
      </c>
      <c r="D6" s="9" t="str">
        <v>-</v>
      </c>
      <c r="E6" s="9" t="str">
        <v>-</v>
      </c>
      <c r="F6" s="12"/>
      <c r="G6" s="9" t="str">
        <f t="shared" si="0"/>
        <v/>
      </c>
      <c r="H6" t="str">
        <f>+C6</f>
        <v>treere</v>
      </c>
      <c r="J6" s="36"/>
      <c r="K6" s="35"/>
      <c r="L6" s="35"/>
    </row>
    <row r="7" spans="1:12" x14ac:dyDescent="0.2">
      <c r="A7" s="2">
        <v>78</v>
      </c>
      <c r="B7" s="2" t="s">
        <v>82</v>
      </c>
      <c r="C7" s="1" t="s">
        <v>83</v>
      </c>
      <c r="D7" s="9" t="str">
        <v>-</v>
      </c>
      <c r="E7" s="9" t="str">
        <v>-</v>
      </c>
      <c r="F7" s="12"/>
      <c r="G7" s="9" t="str">
        <f t="shared" si="0"/>
        <v/>
      </c>
      <c r="J7" s="36"/>
      <c r="K7" s="35"/>
      <c r="L7" s="35"/>
    </row>
    <row r="8" spans="1:12" x14ac:dyDescent="0.2">
      <c r="A8" s="2">
        <v>79</v>
      </c>
      <c r="B8" s="2" t="s">
        <v>84</v>
      </c>
      <c r="C8" s="1" t="str">
        <f>_xlfn.XLOOKUP('16f'!B8,Annex!$B$1:$I$1,Annex!$B$2:$I$2)</f>
        <v>Avven</v>
      </c>
      <c r="D8" s="9" t="str">
        <v>-</v>
      </c>
      <c r="E8" s="9" t="str">
        <v>-</v>
      </c>
      <c r="F8" s="12"/>
      <c r="G8" s="9" t="str">
        <f t="shared" si="0"/>
        <v/>
      </c>
      <c r="H8" t="str">
        <f t="shared" ref="H8:H11" si="1">+C8</f>
        <v>Avven</v>
      </c>
      <c r="J8" s="36"/>
      <c r="K8" s="35"/>
      <c r="L8" s="35"/>
    </row>
    <row r="9" spans="1:12" x14ac:dyDescent="0.2">
      <c r="A9" s="2">
        <v>80</v>
      </c>
      <c r="B9" s="2" t="s">
        <v>85</v>
      </c>
      <c r="C9" s="1" t="str">
        <f>_xlfn.XLOOKUP('16f'!B9,Annex!$B$1:$I$1,Annex!$B$2:$I$2)</f>
        <v>å! Tipp</v>
      </c>
      <c r="D9" s="9" t="str">
        <v>-</v>
      </c>
      <c r="E9" s="9" t="str">
        <v>-</v>
      </c>
      <c r="F9" s="12"/>
      <c r="G9" s="9" t="str">
        <f t="shared" si="0"/>
        <v/>
      </c>
      <c r="H9" t="str">
        <f t="shared" si="1"/>
        <v>å! Tipp</v>
      </c>
      <c r="J9" s="36"/>
      <c r="K9" s="35"/>
      <c r="L9" s="35"/>
    </row>
    <row r="10" spans="1:12" x14ac:dyDescent="0.2">
      <c r="A10" s="2">
        <v>81</v>
      </c>
      <c r="B10" s="2" t="s">
        <v>86</v>
      </c>
      <c r="C10" s="1" t="str">
        <f>_xlfn.XLOOKUP('16f'!B10,Annex!$B$1:$I$1,Annex!$B$2:$I$2)</f>
        <v>t valg a</v>
      </c>
      <c r="D10" s="9" t="str">
        <v>-</v>
      </c>
      <c r="E10" s="9" t="str">
        <v>-</v>
      </c>
      <c r="F10" s="12"/>
      <c r="G10" s="9" t="str">
        <f t="shared" si="0"/>
        <v/>
      </c>
      <c r="H10" t="str">
        <f t="shared" si="1"/>
        <v>t valg a</v>
      </c>
      <c r="J10" s="36"/>
      <c r="K10" s="35"/>
      <c r="L10" s="35"/>
    </row>
    <row r="11" spans="1:12" x14ac:dyDescent="0.2">
      <c r="A11" s="2">
        <v>82</v>
      </c>
      <c r="B11" s="2" t="s">
        <v>87</v>
      </c>
      <c r="C11" s="1" t="str">
        <f>_xlfn.XLOOKUP('16f'!B11,Annex!$B$1:$I$1,Annex!$B$2:$I$2)</f>
        <v>beste</v>
      </c>
      <c r="D11" s="9" t="str">
        <v>-</v>
      </c>
      <c r="E11" s="9" t="str">
        <v>-</v>
      </c>
      <c r="F11" s="12"/>
      <c r="G11" s="9" t="str">
        <f t="shared" si="0"/>
        <v/>
      </c>
      <c r="H11" t="str">
        <f t="shared" si="1"/>
        <v>beste</v>
      </c>
      <c r="J11" s="36"/>
      <c r="K11" s="35"/>
      <c r="L11" s="35"/>
    </row>
    <row r="12" spans="1:12" x14ac:dyDescent="0.2">
      <c r="A12" s="2">
        <v>83</v>
      </c>
      <c r="B12" s="2" t="s">
        <v>88</v>
      </c>
      <c r="C12" s="1" t="s">
        <v>89</v>
      </c>
      <c r="D12" s="9" t="str">
        <v>-</v>
      </c>
      <c r="E12" s="9" t="str">
        <v>-</v>
      </c>
      <c r="F12" s="12"/>
      <c r="G12" s="9" t="str">
        <f t="shared" si="0"/>
        <v/>
      </c>
      <c r="J12" s="36"/>
      <c r="K12" s="35"/>
      <c r="L12" s="35"/>
    </row>
    <row r="13" spans="1:12" x14ac:dyDescent="0.2">
      <c r="A13" s="2">
        <v>84</v>
      </c>
      <c r="B13" s="2" t="s">
        <v>90</v>
      </c>
      <c r="C13" s="1" t="s">
        <v>91</v>
      </c>
      <c r="D13" s="9" t="str">
        <v>-</v>
      </c>
      <c r="E13" s="9" t="str">
        <v>-</v>
      </c>
      <c r="F13" s="12"/>
      <c r="G13" s="9" t="str">
        <f t="shared" si="0"/>
        <v/>
      </c>
      <c r="J13" s="36"/>
      <c r="K13" s="35"/>
      <c r="L13" s="35"/>
    </row>
    <row r="14" spans="1:12" x14ac:dyDescent="0.2">
      <c r="A14" s="2">
        <v>85</v>
      </c>
      <c r="B14" s="2" t="s">
        <v>92</v>
      </c>
      <c r="C14" s="1" t="str">
        <f>_xlfn.XLOOKUP('16f'!B14,Annex!$B$1:$I$1,Annex!$B$2:$I$2)</f>
        <v>ter dit</v>
      </c>
      <c r="D14" s="9" t="str">
        <v>-</v>
      </c>
      <c r="E14" s="9" t="str">
        <v>-</v>
      </c>
      <c r="F14" s="12"/>
      <c r="G14" s="9" t="str">
        <f t="shared" si="0"/>
        <v/>
      </c>
      <c r="H14" t="str">
        <f t="shared" ref="H14:H16" si="2">+C14</f>
        <v>ter dit</v>
      </c>
      <c r="J14" s="36"/>
      <c r="K14" s="35"/>
      <c r="L14" s="35"/>
    </row>
    <row r="15" spans="1:12" x14ac:dyDescent="0.2">
      <c r="A15" s="2">
        <v>86</v>
      </c>
      <c r="B15" s="2" t="s">
        <v>93</v>
      </c>
      <c r="C15" s="1" t="s">
        <v>94</v>
      </c>
      <c r="D15" s="9" t="str">
        <v>-</v>
      </c>
      <c r="E15" s="9" t="str">
        <v>-</v>
      </c>
      <c r="F15" s="12"/>
      <c r="G15" s="9" t="str">
        <f t="shared" si="0"/>
        <v/>
      </c>
      <c r="J15" s="36"/>
      <c r="K15" s="35"/>
      <c r="L15" s="35"/>
    </row>
    <row r="16" spans="1:12" x14ac:dyDescent="0.2">
      <c r="A16" s="2">
        <v>87</v>
      </c>
      <c r="B16" s="2" t="s">
        <v>95</v>
      </c>
      <c r="C16" s="1" t="str">
        <f>_xlfn.XLOOKUP('16f'!B16,Annex!$B$1:$I$1,Annex!$B$2:$I$2)</f>
        <v>. Stå p</v>
      </c>
      <c r="D16" s="9" t="str">
        <v>-</v>
      </c>
      <c r="E16" s="9" t="str">
        <v>-</v>
      </c>
      <c r="F16" s="12"/>
      <c r="G16" s="9" t="str">
        <f t="shared" si="0"/>
        <v/>
      </c>
      <c r="H16" t="str">
        <f t="shared" si="2"/>
        <v>. Stå p</v>
      </c>
      <c r="J16" s="36"/>
      <c r="K16" s="35"/>
      <c r="L16" s="35"/>
    </row>
    <row r="17" spans="1:12" x14ac:dyDescent="0.2">
      <c r="A17" s="2">
        <v>88</v>
      </c>
      <c r="B17" s="2" t="s">
        <v>96</v>
      </c>
      <c r="C17" s="1" t="s">
        <v>97</v>
      </c>
      <c r="D17" s="9" t="str">
        <v>-</v>
      </c>
      <c r="E17" s="9" t="str">
        <v>-</v>
      </c>
      <c r="F17" s="12"/>
      <c r="G17" s="9" t="str">
        <f t="shared" si="0"/>
        <v/>
      </c>
      <c r="J17" s="36"/>
      <c r="K17" s="35"/>
      <c r="L17" s="35"/>
    </row>
  </sheetData>
  <sheetProtection sheet="1" objects="1" scenarios="1"/>
  <dataValidations count="1">
    <dataValidation type="list" allowBlank="1" showInputMessage="1" showErrorMessage="1" sqref="F2:F17" xr:uid="{1688D9FD-5C86-4AAD-B925-B682500C01F7}">
      <formula1>"H,B"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F8F4F-5BBB-47BA-961D-573D963DF7D7}">
  <dimension ref="A1:G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2" sqref="F2"/>
    </sheetView>
  </sheetViews>
  <sheetFormatPr baseColWidth="10" defaultColWidth="10.83203125" defaultRowHeight="15" x14ac:dyDescent="0.2"/>
  <cols>
    <col min="1" max="3" width="5.5" style="1" customWidth="1"/>
    <col min="4" max="5" width="25.1640625" style="9" customWidth="1"/>
    <col min="6" max="6" width="5.33203125" style="11" customWidth="1"/>
    <col min="7" max="7" width="20" style="9" customWidth="1"/>
  </cols>
  <sheetData>
    <row r="1" spans="1:7" x14ac:dyDescent="0.2">
      <c r="A1" s="23" t="s">
        <v>69</v>
      </c>
      <c r="B1" s="23" t="s">
        <v>44</v>
      </c>
      <c r="C1" s="23" t="s">
        <v>14</v>
      </c>
      <c r="D1" s="24" t="s">
        <v>70</v>
      </c>
      <c r="E1" s="24" t="s">
        <v>71</v>
      </c>
      <c r="F1" s="25" t="s">
        <v>72</v>
      </c>
      <c r="G1" s="24" t="s">
        <v>73</v>
      </c>
    </row>
    <row r="2" spans="1:7" x14ac:dyDescent="0.2">
      <c r="A2" s="1">
        <v>89</v>
      </c>
      <c r="B2" s="1">
        <v>73</v>
      </c>
      <c r="C2" s="1">
        <v>75</v>
      </c>
      <c r="D2" s="9" t="str" cm="1">
        <f t="array" ref="D2:D9">_xlfn.XLOOKUP(B2:B9,'16f'!$A:$A,'16f'!$G:$G)</f>
        <v/>
      </c>
      <c r="E2" s="9" t="str" cm="1">
        <f t="array" ref="E2:E9">_xlfn.XLOOKUP(C2:C9,'16f'!$A:$A,'16f'!$G:$G)</f>
        <v/>
      </c>
      <c r="F2" s="12"/>
      <c r="G2" s="9" t="str">
        <f>IF(ISBLANK(F2),"",IF(F2="H",D2,E2))</f>
        <v/>
      </c>
    </row>
    <row r="3" spans="1:7" x14ac:dyDescent="0.2">
      <c r="A3" s="1">
        <v>90</v>
      </c>
      <c r="B3" s="1">
        <v>74</v>
      </c>
      <c r="C3" s="1">
        <v>77</v>
      </c>
      <c r="D3" s="9" t="str">
        <v/>
      </c>
      <c r="E3" s="9" t="str">
        <v/>
      </c>
      <c r="F3" s="12"/>
      <c r="G3" s="9" t="str">
        <f t="shared" ref="G3:G9" si="0">IF(ISBLANK(F3),"",IF(F3="H",D3,E3))</f>
        <v/>
      </c>
    </row>
    <row r="4" spans="1:7" x14ac:dyDescent="0.2">
      <c r="A4" s="1">
        <v>91</v>
      </c>
      <c r="B4" s="1">
        <v>76</v>
      </c>
      <c r="C4" s="1">
        <v>78</v>
      </c>
      <c r="D4" s="9" t="str">
        <v/>
      </c>
      <c r="E4" s="9" t="str">
        <v/>
      </c>
      <c r="F4" s="12"/>
      <c r="G4" s="9" t="str">
        <f t="shared" si="0"/>
        <v/>
      </c>
    </row>
    <row r="5" spans="1:7" x14ac:dyDescent="0.2">
      <c r="A5" s="1">
        <v>92</v>
      </c>
      <c r="B5" s="1">
        <v>79</v>
      </c>
      <c r="C5" s="1">
        <v>80</v>
      </c>
      <c r="D5" s="9" t="str">
        <v/>
      </c>
      <c r="E5" s="9" t="str">
        <v/>
      </c>
      <c r="F5" s="12"/>
      <c r="G5" s="9" t="str">
        <f t="shared" si="0"/>
        <v/>
      </c>
    </row>
    <row r="6" spans="1:7" x14ac:dyDescent="0.2">
      <c r="A6" s="1">
        <v>93</v>
      </c>
      <c r="B6" s="1">
        <v>83</v>
      </c>
      <c r="C6" s="1">
        <v>84</v>
      </c>
      <c r="D6" s="9" t="str">
        <v/>
      </c>
      <c r="E6" s="9" t="str">
        <v/>
      </c>
      <c r="F6" s="12"/>
      <c r="G6" s="9" t="str">
        <f t="shared" si="0"/>
        <v/>
      </c>
    </row>
    <row r="7" spans="1:7" x14ac:dyDescent="0.2">
      <c r="A7" s="1">
        <v>94</v>
      </c>
      <c r="B7" s="1">
        <v>81</v>
      </c>
      <c r="C7" s="1">
        <v>82</v>
      </c>
      <c r="D7" s="9" t="str">
        <v/>
      </c>
      <c r="E7" s="9" t="str">
        <v/>
      </c>
      <c r="F7" s="12"/>
      <c r="G7" s="9" t="str">
        <f t="shared" si="0"/>
        <v/>
      </c>
    </row>
    <row r="8" spans="1:7" x14ac:dyDescent="0.2">
      <c r="A8" s="1">
        <v>95</v>
      </c>
      <c r="B8" s="1">
        <v>86</v>
      </c>
      <c r="C8" s="1">
        <v>88</v>
      </c>
      <c r="D8" s="9" t="str">
        <v/>
      </c>
      <c r="E8" s="9" t="str">
        <v/>
      </c>
      <c r="F8" s="12"/>
      <c r="G8" s="9" t="str">
        <f t="shared" si="0"/>
        <v/>
      </c>
    </row>
    <row r="9" spans="1:7" x14ac:dyDescent="0.2">
      <c r="A9" s="1">
        <v>96</v>
      </c>
      <c r="B9" s="1">
        <v>85</v>
      </c>
      <c r="C9" s="1">
        <v>87</v>
      </c>
      <c r="D9" s="9" t="str">
        <v/>
      </c>
      <c r="E9" s="9" t="str">
        <v/>
      </c>
      <c r="F9" s="12"/>
      <c r="G9" s="9" t="str">
        <f t="shared" si="0"/>
        <v/>
      </c>
    </row>
  </sheetData>
  <sheetProtection sheet="1" objects="1" scenarios="1"/>
  <dataValidations count="1">
    <dataValidation type="list" allowBlank="1" showInputMessage="1" showErrorMessage="1" sqref="F2:F9" xr:uid="{3D28F274-A7E1-42FA-B084-C449C48D78A6}">
      <formula1>"H,B"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731AE-2523-4304-9A22-62D63DA4E67A}">
  <dimension ref="A1:G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2" sqref="F2"/>
    </sheetView>
  </sheetViews>
  <sheetFormatPr baseColWidth="10" defaultColWidth="10.83203125" defaultRowHeight="15" x14ac:dyDescent="0.2"/>
  <cols>
    <col min="1" max="3" width="5.5" style="1" customWidth="1"/>
    <col min="4" max="5" width="25.1640625" style="9" customWidth="1"/>
    <col min="6" max="6" width="5.33203125" style="11" customWidth="1"/>
    <col min="7" max="7" width="20" style="9" customWidth="1"/>
  </cols>
  <sheetData>
    <row r="1" spans="1:7" x14ac:dyDescent="0.2">
      <c r="A1" s="23" t="s">
        <v>69</v>
      </c>
      <c r="B1" s="23" t="s">
        <v>44</v>
      </c>
      <c r="C1" s="23" t="s">
        <v>14</v>
      </c>
      <c r="D1" s="24" t="s">
        <v>70</v>
      </c>
      <c r="E1" s="24" t="s">
        <v>71</v>
      </c>
      <c r="F1" s="25" t="s">
        <v>72</v>
      </c>
      <c r="G1" s="24" t="s">
        <v>73</v>
      </c>
    </row>
    <row r="2" spans="1:7" x14ac:dyDescent="0.2">
      <c r="A2" s="1">
        <v>97</v>
      </c>
      <c r="B2" s="1">
        <v>89</v>
      </c>
      <c r="C2" s="1">
        <v>90</v>
      </c>
      <c r="D2" s="9" t="str" cm="1">
        <f t="array" ref="D2:D5">_xlfn.XLOOKUP(B2:B5,'8f'!$A:$A,'8f'!$G:$G)</f>
        <v/>
      </c>
      <c r="E2" s="9" t="str" cm="1">
        <f t="array" ref="E2:E5">_xlfn.XLOOKUP(C2:C5,'8f'!$A:$A,'8f'!$G:$G)</f>
        <v/>
      </c>
      <c r="F2" s="12"/>
      <c r="G2" s="9" t="str">
        <f>IF(ISBLANK(F2),"",IF(F2="H",D2,E2))</f>
        <v/>
      </c>
    </row>
    <row r="3" spans="1:7" x14ac:dyDescent="0.2">
      <c r="A3" s="1">
        <v>98</v>
      </c>
      <c r="B3" s="1">
        <v>93</v>
      </c>
      <c r="C3" s="1">
        <v>94</v>
      </c>
      <c r="D3" s="9" t="str">
        <v/>
      </c>
      <c r="E3" s="9" t="str">
        <v/>
      </c>
      <c r="F3" s="12"/>
      <c r="G3" s="9" t="str">
        <f t="shared" ref="G3:G5" si="0">IF(ISBLANK(F3),"",IF(F3="H",D3,E3))</f>
        <v/>
      </c>
    </row>
    <row r="4" spans="1:7" x14ac:dyDescent="0.2">
      <c r="A4" s="1">
        <v>99</v>
      </c>
      <c r="B4" s="1">
        <v>91</v>
      </c>
      <c r="C4" s="1">
        <v>92</v>
      </c>
      <c r="D4" s="9" t="str">
        <v/>
      </c>
      <c r="E4" s="9" t="str">
        <v/>
      </c>
      <c r="F4" s="12"/>
      <c r="G4" s="9" t="str">
        <f t="shared" si="0"/>
        <v/>
      </c>
    </row>
    <row r="5" spans="1:7" x14ac:dyDescent="0.2">
      <c r="A5" s="1">
        <v>100</v>
      </c>
      <c r="B5" s="1">
        <v>95</v>
      </c>
      <c r="C5" s="1">
        <v>96</v>
      </c>
      <c r="D5" s="9" t="str">
        <v/>
      </c>
      <c r="E5" s="9" t="str">
        <v/>
      </c>
      <c r="F5" s="12"/>
      <c r="G5" s="9" t="str">
        <f t="shared" si="0"/>
        <v/>
      </c>
    </row>
  </sheetData>
  <sheetProtection sheet="1" objects="1" scenarios="1"/>
  <dataValidations count="1">
    <dataValidation type="list" allowBlank="1" showInputMessage="1" showErrorMessage="1" sqref="F2:F5" xr:uid="{2EFB4920-5DA5-4B7C-BF10-55F1EAA957B6}">
      <formula1>"H,B"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85CA0-712A-4F9C-A570-6EF25C88F573}">
  <dimension ref="A1:G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2" sqref="F2"/>
    </sheetView>
  </sheetViews>
  <sheetFormatPr baseColWidth="10" defaultColWidth="10.83203125" defaultRowHeight="15" x14ac:dyDescent="0.2"/>
  <cols>
    <col min="1" max="3" width="5.5" style="1" customWidth="1"/>
    <col min="4" max="5" width="25.1640625" style="9" customWidth="1"/>
    <col min="6" max="6" width="5.33203125" style="11" customWidth="1"/>
    <col min="7" max="7" width="20" style="9" customWidth="1"/>
  </cols>
  <sheetData>
    <row r="1" spans="1:7" x14ac:dyDescent="0.2">
      <c r="A1" s="23" t="s">
        <v>69</v>
      </c>
      <c r="B1" s="23" t="s">
        <v>44</v>
      </c>
      <c r="C1" s="23" t="s">
        <v>14</v>
      </c>
      <c r="D1" s="24" t="s">
        <v>70</v>
      </c>
      <c r="E1" s="24" t="s">
        <v>71</v>
      </c>
      <c r="F1" s="25" t="s">
        <v>72</v>
      </c>
      <c r="G1" s="24" t="s">
        <v>73</v>
      </c>
    </row>
    <row r="2" spans="1:7" x14ac:dyDescent="0.2">
      <c r="A2" s="1">
        <v>101</v>
      </c>
      <c r="B2" s="1" cm="1">
        <f t="array" ref="B2:C3">_xlfn.SEQUENCE(2,2,97,1)</f>
        <v>97</v>
      </c>
      <c r="C2" s="1">
        <v>98</v>
      </c>
      <c r="D2" s="9" t="str" cm="1">
        <f t="array" ref="D2:D3">_xlfn.XLOOKUP(B2:B3,'4f'!$A:$A,'4f'!$G:$G)</f>
        <v/>
      </c>
      <c r="E2" s="9" t="str" cm="1">
        <f t="array" ref="E2:E3">_xlfn.XLOOKUP(C2:C3,'4f'!$A:$A,'4f'!$G:$G)</f>
        <v/>
      </c>
      <c r="F2" s="12"/>
      <c r="G2" s="9" t="str">
        <f>IF(ISBLANK(F2),"",IF(F2="H",D2,E2))</f>
        <v/>
      </c>
    </row>
    <row r="3" spans="1:7" x14ac:dyDescent="0.2">
      <c r="A3" s="1">
        <v>102</v>
      </c>
      <c r="B3" s="1">
        <v>99</v>
      </c>
      <c r="C3" s="1">
        <v>100</v>
      </c>
      <c r="D3" s="9" t="str">
        <v/>
      </c>
      <c r="E3" s="9" t="str">
        <v/>
      </c>
      <c r="F3" s="12"/>
      <c r="G3" s="9" t="str">
        <f t="shared" ref="G3" si="0">IF(ISBLANK(F3),"",IF(F3="H",D3,E3))</f>
        <v/>
      </c>
    </row>
  </sheetData>
  <sheetProtection sheet="1" objects="1" scenarios="1"/>
  <dataValidations count="1">
    <dataValidation type="list" allowBlank="1" showInputMessage="1" showErrorMessage="1" sqref="F2:F3" xr:uid="{234FA24D-AC1C-437B-9D50-CB818D3D2831}">
      <formula1>"H,B"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2A589-EA45-434A-9696-98FD2D19976B}">
  <dimension ref="A1:G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2" sqref="F2"/>
    </sheetView>
  </sheetViews>
  <sheetFormatPr baseColWidth="10" defaultColWidth="10.83203125" defaultRowHeight="15" x14ac:dyDescent="0.2"/>
  <cols>
    <col min="1" max="3" width="5.5" style="1" customWidth="1"/>
    <col min="4" max="5" width="25.1640625" style="9" customWidth="1"/>
    <col min="6" max="6" width="5.33203125" style="11" customWidth="1"/>
    <col min="7" max="7" width="20" style="9" customWidth="1"/>
  </cols>
  <sheetData>
    <row r="1" spans="1:7" x14ac:dyDescent="0.2">
      <c r="A1" s="23" t="s">
        <v>69</v>
      </c>
      <c r="B1" s="23" t="s">
        <v>44</v>
      </c>
      <c r="C1" s="23" t="s">
        <v>14</v>
      </c>
      <c r="D1" s="24" t="s">
        <v>70</v>
      </c>
      <c r="E1" s="24" t="s">
        <v>71</v>
      </c>
      <c r="F1" s="25" t="s">
        <v>72</v>
      </c>
      <c r="G1" s="24" t="s">
        <v>73</v>
      </c>
    </row>
    <row r="2" spans="1:7" x14ac:dyDescent="0.2">
      <c r="A2" s="1">
        <v>104</v>
      </c>
      <c r="B2" s="1" cm="1">
        <f t="array" ref="B2:C2">_xlfn.SEQUENCE(1,2,101,1)</f>
        <v>101</v>
      </c>
      <c r="C2" s="1">
        <v>102</v>
      </c>
      <c r="D2" s="9" t="str" cm="1">
        <f t="array" ref="D2">_xlfn.XLOOKUP(B2:B2,'2f'!$A:$A,'2f'!$G:$G)</f>
        <v/>
      </c>
      <c r="E2" s="9" t="str" cm="1">
        <f t="array" ref="E2">_xlfn.XLOOKUP(C2:C2,'2f'!$A:$A,'2f'!$G:$G)</f>
        <v/>
      </c>
      <c r="F2" s="12"/>
      <c r="G2" s="9" t="str">
        <f>IF(ISBLANK(F2),"",IF(F2="H",D2,E2))</f>
        <v/>
      </c>
    </row>
  </sheetData>
  <sheetProtection sheet="1" objects="1" scenarios="1"/>
  <dataValidations count="1">
    <dataValidation type="list" allowBlank="1" showInputMessage="1" showErrorMessage="1" sqref="F2" xr:uid="{10C1E12E-C315-4260-B3B3-FDD146E82387}">
      <formula1>"H,B"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04D1F-8B99-468A-8149-FBFEC4510A3D}">
  <dimension ref="A1:AA498"/>
  <sheetViews>
    <sheetView zoomScale="80" zoomScaleNormal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S1" sqref="S1"/>
    </sheetView>
  </sheetViews>
  <sheetFormatPr baseColWidth="10" defaultColWidth="10.83203125" defaultRowHeight="15" x14ac:dyDescent="0.2"/>
  <cols>
    <col min="1" max="1" width="7.5" customWidth="1"/>
    <col min="2" max="9" width="5.1640625" style="1" customWidth="1"/>
    <col min="10" max="10" width="5.1640625" customWidth="1"/>
    <col min="11" max="18" width="3.33203125" customWidth="1"/>
    <col min="19" max="19" width="5" customWidth="1"/>
  </cols>
  <sheetData>
    <row r="1" spans="1:27" x14ac:dyDescent="0.2">
      <c r="A1" t="s">
        <v>98</v>
      </c>
      <c r="B1" s="1" t="s">
        <v>84</v>
      </c>
      <c r="C1" s="1" t="s">
        <v>92</v>
      </c>
      <c r="D1" s="1" t="s">
        <v>86</v>
      </c>
      <c r="E1" s="1" t="s">
        <v>76</v>
      </c>
      <c r="F1" s="1" t="s">
        <v>87</v>
      </c>
      <c r="G1" s="1" t="s">
        <v>81</v>
      </c>
      <c r="H1" s="1" t="s">
        <v>95</v>
      </c>
      <c r="I1" s="1" t="s">
        <v>85</v>
      </c>
      <c r="K1" t="s">
        <v>99</v>
      </c>
      <c r="T1" t="s">
        <v>100</v>
      </c>
    </row>
    <row r="2" spans="1:27" x14ac:dyDescent="0.2">
      <c r="A2" s="1">
        <v>8</v>
      </c>
      <c r="B2" s="1" t="str">
        <f>_xlfn.XLOOKUP($A$2,$J$4:$J$498,B4:B498,B3)</f>
        <v>Avven</v>
      </c>
      <c r="C2" s="1" t="str">
        <f t="shared" ref="C2:I2" si="0">_xlfn.XLOOKUP($A$2,$J$4:$J$498,C4:C498,C3)</f>
        <v>ter dit</v>
      </c>
      <c r="D2" s="1" t="str">
        <f t="shared" si="0"/>
        <v>t valg a</v>
      </c>
      <c r="E2" s="1" t="str">
        <f t="shared" si="0"/>
        <v xml:space="preserve">v åtte  </v>
      </c>
      <c r="F2" s="1" t="str">
        <f t="shared" si="0"/>
        <v>beste</v>
      </c>
      <c r="G2" s="1" t="str">
        <f t="shared" si="0"/>
        <v>treere</v>
      </c>
      <c r="H2" s="1" t="str">
        <f t="shared" si="0"/>
        <v>. Stå p</v>
      </c>
      <c r="I2" s="1" t="str">
        <f t="shared" si="0"/>
        <v>å! Tipp</v>
      </c>
      <c r="T2" t="s">
        <v>114</v>
      </c>
    </row>
    <row r="3" spans="1:27" x14ac:dyDescent="0.2">
      <c r="B3" s="38" t="s">
        <v>118</v>
      </c>
      <c r="C3" s="38" t="s">
        <v>119</v>
      </c>
      <c r="D3" s="38" t="s">
        <v>120</v>
      </c>
      <c r="E3" s="38" t="s">
        <v>125</v>
      </c>
      <c r="F3" s="38" t="s">
        <v>121</v>
      </c>
      <c r="G3" s="38" t="s">
        <v>122</v>
      </c>
      <c r="H3" s="38" t="s">
        <v>123</v>
      </c>
      <c r="I3" s="38" t="s">
        <v>124</v>
      </c>
      <c r="T3" t="s">
        <v>115</v>
      </c>
    </row>
    <row r="4" spans="1:27" x14ac:dyDescent="0.2">
      <c r="A4">
        <v>1</v>
      </c>
      <c r="B4" s="1" t="s">
        <v>102</v>
      </c>
      <c r="C4" s="1" t="s">
        <v>103</v>
      </c>
      <c r="D4" s="1" t="s">
        <v>104</v>
      </c>
      <c r="E4" s="1" t="s">
        <v>105</v>
      </c>
      <c r="F4" s="1" t="s">
        <v>106</v>
      </c>
      <c r="G4" s="1" t="s">
        <v>107</v>
      </c>
      <c r="H4" s="1" t="s">
        <v>108</v>
      </c>
      <c r="I4" s="1" t="s">
        <v>109</v>
      </c>
      <c r="J4">
        <f t="shared" ref="J4:J21" si="1">SUM(K4:R4)</f>
        <v>0</v>
      </c>
      <c r="K4">
        <f>COUNTIFS(Grunnspill!$A:$A,Annex!B4)</f>
        <v>0</v>
      </c>
      <c r="L4">
        <f>COUNTIFS(Grunnspill!$A:$A,Annex!C4)</f>
        <v>0</v>
      </c>
      <c r="M4">
        <f>COUNTIFS(Grunnspill!$A:$A,Annex!D4)</f>
        <v>0</v>
      </c>
      <c r="N4">
        <f>COUNTIFS(Grunnspill!$A:$A,Annex!E4)</f>
        <v>0</v>
      </c>
      <c r="O4">
        <f>COUNTIFS(Grunnspill!$A:$A,Annex!F4)</f>
        <v>0</v>
      </c>
      <c r="P4">
        <f>COUNTIFS(Grunnspill!$A:$A,Annex!G4)</f>
        <v>0</v>
      </c>
      <c r="Q4">
        <f>COUNTIFS(Grunnspill!$A:$A,Annex!H4)</f>
        <v>0</v>
      </c>
      <c r="R4">
        <f>COUNTIFS(Grunnspill!$A:$A,Annex!I4)</f>
        <v>0</v>
      </c>
      <c r="T4" t="s">
        <v>101</v>
      </c>
    </row>
    <row r="5" spans="1:27" x14ac:dyDescent="0.2">
      <c r="A5">
        <v>2</v>
      </c>
      <c r="B5" s="1" t="s">
        <v>106</v>
      </c>
      <c r="C5" s="1" t="s">
        <v>107</v>
      </c>
      <c r="D5" s="1" t="s">
        <v>104</v>
      </c>
      <c r="E5" s="1" t="s">
        <v>110</v>
      </c>
      <c r="F5" s="1" t="s">
        <v>103</v>
      </c>
      <c r="G5" s="1" t="s">
        <v>105</v>
      </c>
      <c r="H5" s="1" t="s">
        <v>108</v>
      </c>
      <c r="I5" s="1" t="s">
        <v>109</v>
      </c>
      <c r="J5">
        <f t="shared" si="1"/>
        <v>0</v>
      </c>
      <c r="K5">
        <f>COUNTIFS(Grunnspill!$A:$A,Annex!B5)</f>
        <v>0</v>
      </c>
      <c r="L5">
        <f>COUNTIFS(Grunnspill!$A:$A,Annex!C5)</f>
        <v>0</v>
      </c>
      <c r="M5">
        <f>COUNTIFS(Grunnspill!$A:$A,Annex!D5)</f>
        <v>0</v>
      </c>
      <c r="N5">
        <f>COUNTIFS(Grunnspill!$A:$A,Annex!E5)</f>
        <v>0</v>
      </c>
      <c r="O5">
        <f>COUNTIFS(Grunnspill!$A:$A,Annex!F5)</f>
        <v>0</v>
      </c>
      <c r="P5">
        <f>COUNTIFS(Grunnspill!$A:$A,Annex!G5)</f>
        <v>0</v>
      </c>
      <c r="Q5">
        <f>COUNTIFS(Grunnspill!$A:$A,Annex!H5)</f>
        <v>0</v>
      </c>
      <c r="R5">
        <f>COUNTIFS(Grunnspill!$A:$A,Annex!I5)</f>
        <v>0</v>
      </c>
    </row>
    <row r="6" spans="1:27" x14ac:dyDescent="0.2">
      <c r="A6">
        <v>3</v>
      </c>
      <c r="B6" s="1" t="s">
        <v>102</v>
      </c>
      <c r="C6" s="1" t="s">
        <v>103</v>
      </c>
      <c r="D6" s="1" t="s">
        <v>104</v>
      </c>
      <c r="E6" s="1" t="s">
        <v>110</v>
      </c>
      <c r="F6" s="1" t="s">
        <v>106</v>
      </c>
      <c r="G6" s="1" t="s">
        <v>107</v>
      </c>
      <c r="H6" s="1" t="s">
        <v>108</v>
      </c>
      <c r="I6" s="1" t="s">
        <v>109</v>
      </c>
      <c r="J6">
        <f t="shared" si="1"/>
        <v>0</v>
      </c>
      <c r="K6">
        <f>COUNTIFS(Grunnspill!$A:$A,Annex!B6)</f>
        <v>0</v>
      </c>
      <c r="L6">
        <f>COUNTIFS(Grunnspill!$A:$A,Annex!C6)</f>
        <v>0</v>
      </c>
      <c r="M6">
        <f>COUNTIFS(Grunnspill!$A:$A,Annex!D6)</f>
        <v>0</v>
      </c>
      <c r="N6">
        <f>COUNTIFS(Grunnspill!$A:$A,Annex!E6)</f>
        <v>0</v>
      </c>
      <c r="O6">
        <f>COUNTIFS(Grunnspill!$A:$A,Annex!F6)</f>
        <v>0</v>
      </c>
      <c r="P6">
        <f>COUNTIFS(Grunnspill!$A:$A,Annex!G6)</f>
        <v>0</v>
      </c>
      <c r="Q6">
        <f>COUNTIFS(Grunnspill!$A:$A,Annex!H6)</f>
        <v>0</v>
      </c>
      <c r="R6">
        <f>COUNTIFS(Grunnspill!$A:$A,Annex!I6)</f>
        <v>0</v>
      </c>
      <c r="T6" s="1" t="str" cm="1">
        <f t="array" ref="T6:AA6">+B1:I1</f>
        <v>1A</v>
      </c>
      <c r="U6" s="1" t="str">
        <v>1B</v>
      </c>
      <c r="V6" s="1" t="str">
        <v>1D</v>
      </c>
      <c r="W6" s="1" t="str">
        <v>1E</v>
      </c>
      <c r="X6" s="1" t="str">
        <v>1G</v>
      </c>
      <c r="Y6" s="1" t="str">
        <v>1I</v>
      </c>
      <c r="Z6" s="1" t="str">
        <v>1K</v>
      </c>
      <c r="AA6" s="1" t="str">
        <v>1L</v>
      </c>
    </row>
    <row r="7" spans="1:27" x14ac:dyDescent="0.2">
      <c r="A7">
        <v>4</v>
      </c>
      <c r="B7" s="1" t="s">
        <v>102</v>
      </c>
      <c r="C7" s="1" t="s">
        <v>103</v>
      </c>
      <c r="D7" s="1" t="s">
        <v>104</v>
      </c>
      <c r="E7" s="1" t="s">
        <v>110</v>
      </c>
      <c r="F7" s="1" t="s">
        <v>106</v>
      </c>
      <c r="G7" s="1" t="s">
        <v>105</v>
      </c>
      <c r="H7" s="1" t="s">
        <v>108</v>
      </c>
      <c r="I7" s="1" t="s">
        <v>109</v>
      </c>
      <c r="J7">
        <f t="shared" si="1"/>
        <v>0</v>
      </c>
      <c r="K7">
        <f>COUNTIFS(Grunnspill!$A:$A,Annex!B7)</f>
        <v>0</v>
      </c>
      <c r="L7">
        <f>COUNTIFS(Grunnspill!$A:$A,Annex!C7)</f>
        <v>0</v>
      </c>
      <c r="M7">
        <f>COUNTIFS(Grunnspill!$A:$A,Annex!D7)</f>
        <v>0</v>
      </c>
      <c r="N7">
        <f>COUNTIFS(Grunnspill!$A:$A,Annex!E7)</f>
        <v>0</v>
      </c>
      <c r="O7">
        <f>COUNTIFS(Grunnspill!$A:$A,Annex!F7)</f>
        <v>0</v>
      </c>
      <c r="P7">
        <f>COUNTIFS(Grunnspill!$A:$A,Annex!G7)</f>
        <v>0</v>
      </c>
      <c r="Q7">
        <f>COUNTIFS(Grunnspill!$A:$A,Annex!H7)</f>
        <v>0</v>
      </c>
      <c r="R7">
        <f>COUNTIFS(Grunnspill!$A:$A,Annex!I7)</f>
        <v>0</v>
      </c>
      <c r="T7" s="1">
        <f t="shared" ref="T7:AA7" si="2">COUNTIFS(B4:B498,"3I")</f>
        <v>19</v>
      </c>
      <c r="U7" s="1">
        <f t="shared" si="2"/>
        <v>14</v>
      </c>
      <c r="V7" s="1">
        <f t="shared" si="2"/>
        <v>52</v>
      </c>
      <c r="W7" s="1">
        <f t="shared" si="2"/>
        <v>0</v>
      </c>
      <c r="X7" s="1">
        <f t="shared" si="2"/>
        <v>41</v>
      </c>
      <c r="Y7" s="1">
        <f t="shared" si="2"/>
        <v>0</v>
      </c>
      <c r="Z7" s="1">
        <f t="shared" si="2"/>
        <v>91</v>
      </c>
      <c r="AA7" s="1">
        <f t="shared" si="2"/>
        <v>113</v>
      </c>
    </row>
    <row r="8" spans="1:27" x14ac:dyDescent="0.2">
      <c r="A8">
        <v>5</v>
      </c>
      <c r="B8" s="1" t="s">
        <v>102</v>
      </c>
      <c r="C8" s="1" t="s">
        <v>107</v>
      </c>
      <c r="D8" s="1" t="s">
        <v>104</v>
      </c>
      <c r="E8" s="1" t="s">
        <v>110</v>
      </c>
      <c r="F8" s="1" t="s">
        <v>103</v>
      </c>
      <c r="G8" s="1" t="s">
        <v>105</v>
      </c>
      <c r="H8" s="1" t="s">
        <v>108</v>
      </c>
      <c r="I8" s="1" t="s">
        <v>109</v>
      </c>
      <c r="J8">
        <f t="shared" si="1"/>
        <v>0</v>
      </c>
      <c r="K8">
        <f>COUNTIFS(Grunnspill!$A:$A,Annex!B8)</f>
        <v>0</v>
      </c>
      <c r="L8">
        <f>COUNTIFS(Grunnspill!$A:$A,Annex!C8)</f>
        <v>0</v>
      </c>
      <c r="M8">
        <f>COUNTIFS(Grunnspill!$A:$A,Annex!D8)</f>
        <v>0</v>
      </c>
      <c r="N8">
        <f>COUNTIFS(Grunnspill!$A:$A,Annex!E8)</f>
        <v>0</v>
      </c>
      <c r="O8">
        <f>COUNTIFS(Grunnspill!$A:$A,Annex!F8)</f>
        <v>0</v>
      </c>
      <c r="P8">
        <f>COUNTIFS(Grunnspill!$A:$A,Annex!G8)</f>
        <v>0</v>
      </c>
      <c r="Q8">
        <f>COUNTIFS(Grunnspill!$A:$A,Annex!H8)</f>
        <v>0</v>
      </c>
      <c r="R8">
        <f>COUNTIFS(Grunnspill!$A:$A,Annex!I8)</f>
        <v>0</v>
      </c>
      <c r="T8" t="str" cm="1">
        <f t="array" ref="T8:T11">+Grunnspill!D4:D7</f>
        <v>Mexico</v>
      </c>
      <c r="U8" t="str" cm="1">
        <f t="array" ref="U8:U11">+Grunnspill!D8:D11</f>
        <v>Canada</v>
      </c>
      <c r="V8" t="str" cm="1">
        <f t="array" ref="V8:V11">+Grunnspill!D16:D19</f>
        <v>USA</v>
      </c>
      <c r="X8" t="str" cm="1">
        <f t="array" ref="X8:X11">+Grunnspill!D28:D31</f>
        <v>Belgia</v>
      </c>
      <c r="Z8" t="str" cm="1">
        <f t="array" ref="Z8:Z11">+Grunnspill!D44:D47</f>
        <v>Portugal</v>
      </c>
      <c r="AA8" t="str" cm="1">
        <f t="array" ref="AA8:AA11">+Grunnspill!D48:D51</f>
        <v>England</v>
      </c>
    </row>
    <row r="9" spans="1:27" x14ac:dyDescent="0.2">
      <c r="A9">
        <v>6</v>
      </c>
      <c r="B9" s="1" t="s">
        <v>102</v>
      </c>
      <c r="C9" s="1" t="s">
        <v>107</v>
      </c>
      <c r="D9" s="1" t="s">
        <v>103</v>
      </c>
      <c r="E9" s="1" t="s">
        <v>110</v>
      </c>
      <c r="F9" s="1" t="s">
        <v>106</v>
      </c>
      <c r="G9" s="1" t="s">
        <v>105</v>
      </c>
      <c r="H9" s="1" t="s">
        <v>108</v>
      </c>
      <c r="I9" s="1" t="s">
        <v>109</v>
      </c>
      <c r="J9">
        <f t="shared" si="1"/>
        <v>0</v>
      </c>
      <c r="K9">
        <f>COUNTIFS(Grunnspill!$A:$A,Annex!B9)</f>
        <v>0</v>
      </c>
      <c r="L9">
        <f>COUNTIFS(Grunnspill!$A:$A,Annex!C9)</f>
        <v>0</v>
      </c>
      <c r="M9">
        <f>COUNTIFS(Grunnspill!$A:$A,Annex!D9)</f>
        <v>0</v>
      </c>
      <c r="N9">
        <f>COUNTIFS(Grunnspill!$A:$A,Annex!E9)</f>
        <v>0</v>
      </c>
      <c r="O9">
        <f>COUNTIFS(Grunnspill!$A:$A,Annex!F9)</f>
        <v>0</v>
      </c>
      <c r="P9">
        <f>COUNTIFS(Grunnspill!$A:$A,Annex!G9)</f>
        <v>0</v>
      </c>
      <c r="Q9">
        <f>COUNTIFS(Grunnspill!$A:$A,Annex!H9)</f>
        <v>0</v>
      </c>
      <c r="R9">
        <f>COUNTIFS(Grunnspill!$A:$A,Annex!I9)</f>
        <v>0</v>
      </c>
      <c r="T9" t="str">
        <v>Sør-Afrika</v>
      </c>
      <c r="U9" t="str">
        <v>Bosnia-Hercegovina</v>
      </c>
      <c r="V9" t="str">
        <v>Paraguay</v>
      </c>
      <c r="X9" t="str">
        <v>Iran</v>
      </c>
      <c r="Z9" t="str">
        <v>DR Kongo</v>
      </c>
      <c r="AA9" t="str">
        <v>Kroatia</v>
      </c>
    </row>
    <row r="10" spans="1:27" x14ac:dyDescent="0.2">
      <c r="A10">
        <v>7</v>
      </c>
      <c r="B10" s="1" t="s">
        <v>102</v>
      </c>
      <c r="C10" s="1" t="s">
        <v>107</v>
      </c>
      <c r="D10" s="1" t="s">
        <v>104</v>
      </c>
      <c r="E10" s="1" t="s">
        <v>110</v>
      </c>
      <c r="F10" s="1" t="s">
        <v>106</v>
      </c>
      <c r="G10" s="1" t="s">
        <v>105</v>
      </c>
      <c r="H10" s="1" t="s">
        <v>108</v>
      </c>
      <c r="I10" s="1" t="s">
        <v>109</v>
      </c>
      <c r="J10">
        <f t="shared" si="1"/>
        <v>0</v>
      </c>
      <c r="K10">
        <f>COUNTIFS(Grunnspill!$A:$A,Annex!B10)</f>
        <v>0</v>
      </c>
      <c r="L10">
        <f>COUNTIFS(Grunnspill!$A:$A,Annex!C10)</f>
        <v>0</v>
      </c>
      <c r="M10">
        <f>COUNTIFS(Grunnspill!$A:$A,Annex!D10)</f>
        <v>0</v>
      </c>
      <c r="N10">
        <f>COUNTIFS(Grunnspill!$A:$A,Annex!E10)</f>
        <v>0</v>
      </c>
      <c r="O10">
        <f>COUNTIFS(Grunnspill!$A:$A,Annex!F10)</f>
        <v>0</v>
      </c>
      <c r="P10">
        <f>COUNTIFS(Grunnspill!$A:$A,Annex!G10)</f>
        <v>0</v>
      </c>
      <c r="Q10">
        <f>COUNTIFS(Grunnspill!$A:$A,Annex!H10)</f>
        <v>0</v>
      </c>
      <c r="R10">
        <f>COUNTIFS(Grunnspill!$A:$A,Annex!I10)</f>
        <v>0</v>
      </c>
      <c r="T10" t="str">
        <v>Sør-Korea</v>
      </c>
      <c r="U10" t="str">
        <v>Qatar</v>
      </c>
      <c r="V10" t="str">
        <v>Australia</v>
      </c>
      <c r="X10" t="str">
        <v>Egypt</v>
      </c>
      <c r="Z10" t="str">
        <v>Usbekistan</v>
      </c>
      <c r="AA10" t="str">
        <v>Ghana</v>
      </c>
    </row>
    <row r="11" spans="1:27" x14ac:dyDescent="0.2">
      <c r="A11">
        <v>8</v>
      </c>
      <c r="B11" s="1" t="s">
        <v>102</v>
      </c>
      <c r="C11" s="1" t="s">
        <v>107</v>
      </c>
      <c r="D11" s="1" t="s">
        <v>103</v>
      </c>
      <c r="E11" s="1" t="s">
        <v>110</v>
      </c>
      <c r="F11" s="1" t="s">
        <v>106</v>
      </c>
      <c r="G11" s="1" t="s">
        <v>105</v>
      </c>
      <c r="H11" s="1" t="s">
        <v>108</v>
      </c>
      <c r="I11" s="1" t="s">
        <v>104</v>
      </c>
      <c r="J11">
        <f t="shared" si="1"/>
        <v>0</v>
      </c>
      <c r="K11">
        <f>COUNTIFS(Grunnspill!$A:$A,Annex!B11)</f>
        <v>0</v>
      </c>
      <c r="L11">
        <f>COUNTIFS(Grunnspill!$A:$A,Annex!C11)</f>
        <v>0</v>
      </c>
      <c r="M11">
        <f>COUNTIFS(Grunnspill!$A:$A,Annex!D11)</f>
        <v>0</v>
      </c>
      <c r="N11">
        <f>COUNTIFS(Grunnspill!$A:$A,Annex!E11)</f>
        <v>0</v>
      </c>
      <c r="O11">
        <f>COUNTIFS(Grunnspill!$A:$A,Annex!F11)</f>
        <v>0</v>
      </c>
      <c r="P11">
        <f>COUNTIFS(Grunnspill!$A:$A,Annex!G11)</f>
        <v>0</v>
      </c>
      <c r="Q11">
        <f>COUNTIFS(Grunnspill!$A:$A,Annex!H11)</f>
        <v>0</v>
      </c>
      <c r="R11">
        <f>COUNTIFS(Grunnspill!$A:$A,Annex!I11)</f>
        <v>0</v>
      </c>
      <c r="T11" t="str">
        <v>Tsjekkia</v>
      </c>
      <c r="U11" t="str">
        <v>Sveits</v>
      </c>
      <c r="V11" t="str">
        <v>Tyrkia</v>
      </c>
      <c r="X11" t="str">
        <v>New Zealand</v>
      </c>
      <c r="Z11" t="str">
        <v>Colombia</v>
      </c>
      <c r="AA11" t="str">
        <v>Panama</v>
      </c>
    </row>
    <row r="12" spans="1:27" x14ac:dyDescent="0.2">
      <c r="A12">
        <v>9</v>
      </c>
      <c r="B12" s="1" t="s">
        <v>102</v>
      </c>
      <c r="C12" s="1" t="s">
        <v>107</v>
      </c>
      <c r="D12" s="1" t="s">
        <v>103</v>
      </c>
      <c r="E12" s="1" t="s">
        <v>110</v>
      </c>
      <c r="F12" s="1" t="s">
        <v>106</v>
      </c>
      <c r="G12" s="1" t="s">
        <v>105</v>
      </c>
      <c r="H12" s="1" t="s">
        <v>104</v>
      </c>
      <c r="I12" s="1" t="s">
        <v>109</v>
      </c>
      <c r="J12">
        <f t="shared" si="1"/>
        <v>0</v>
      </c>
      <c r="K12">
        <f>COUNTIFS(Grunnspill!$A:$A,Annex!B12)</f>
        <v>0</v>
      </c>
      <c r="L12">
        <f>COUNTIFS(Grunnspill!$A:$A,Annex!C12)</f>
        <v>0</v>
      </c>
      <c r="M12">
        <f>COUNTIFS(Grunnspill!$A:$A,Annex!D12)</f>
        <v>0</v>
      </c>
      <c r="N12">
        <f>COUNTIFS(Grunnspill!$A:$A,Annex!E12)</f>
        <v>0</v>
      </c>
      <c r="O12">
        <f>COUNTIFS(Grunnspill!$A:$A,Annex!F12)</f>
        <v>0</v>
      </c>
      <c r="P12">
        <f>COUNTIFS(Grunnspill!$A:$A,Annex!G12)</f>
        <v>0</v>
      </c>
      <c r="Q12">
        <f>COUNTIFS(Grunnspill!$A:$A,Annex!H12)</f>
        <v>0</v>
      </c>
      <c r="R12">
        <f>COUNTIFS(Grunnspill!$A:$A,Annex!I12)</f>
        <v>0</v>
      </c>
    </row>
    <row r="13" spans="1:27" x14ac:dyDescent="0.2">
      <c r="A13">
        <v>10</v>
      </c>
      <c r="B13" s="1" t="s">
        <v>106</v>
      </c>
      <c r="C13" s="1" t="s">
        <v>107</v>
      </c>
      <c r="D13" s="1" t="s">
        <v>104</v>
      </c>
      <c r="E13" s="1" t="s">
        <v>111</v>
      </c>
      <c r="F13" s="1" t="s">
        <v>103</v>
      </c>
      <c r="G13" s="1" t="s">
        <v>105</v>
      </c>
      <c r="H13" s="1" t="s">
        <v>108</v>
      </c>
      <c r="I13" s="1" t="s">
        <v>109</v>
      </c>
      <c r="J13">
        <f t="shared" si="1"/>
        <v>0</v>
      </c>
      <c r="K13">
        <f>COUNTIFS(Grunnspill!$A:$A,Annex!B13)</f>
        <v>0</v>
      </c>
      <c r="L13">
        <f>COUNTIFS(Grunnspill!$A:$A,Annex!C13)</f>
        <v>0</v>
      </c>
      <c r="M13">
        <f>COUNTIFS(Grunnspill!$A:$A,Annex!D13)</f>
        <v>0</v>
      </c>
      <c r="N13">
        <f>COUNTIFS(Grunnspill!$A:$A,Annex!E13)</f>
        <v>0</v>
      </c>
      <c r="O13">
        <f>COUNTIFS(Grunnspill!$A:$A,Annex!F13)</f>
        <v>0</v>
      </c>
      <c r="P13">
        <f>COUNTIFS(Grunnspill!$A:$A,Annex!G13)</f>
        <v>0</v>
      </c>
      <c r="Q13">
        <f>COUNTIFS(Grunnspill!$A:$A,Annex!H13)</f>
        <v>0</v>
      </c>
      <c r="R13">
        <f>COUNTIFS(Grunnspill!$A:$A,Annex!I13)</f>
        <v>0</v>
      </c>
      <c r="T13" t="s">
        <v>116</v>
      </c>
    </row>
    <row r="14" spans="1:27" x14ac:dyDescent="0.2">
      <c r="A14">
        <v>11</v>
      </c>
      <c r="B14" s="1" t="s">
        <v>102</v>
      </c>
      <c r="C14" s="1" t="s">
        <v>103</v>
      </c>
      <c r="D14" s="1" t="s">
        <v>104</v>
      </c>
      <c r="E14" s="1" t="s">
        <v>111</v>
      </c>
      <c r="F14" s="1" t="s">
        <v>106</v>
      </c>
      <c r="G14" s="1" t="s">
        <v>107</v>
      </c>
      <c r="H14" s="1" t="s">
        <v>108</v>
      </c>
      <c r="I14" s="1" t="s">
        <v>109</v>
      </c>
      <c r="J14">
        <f t="shared" si="1"/>
        <v>0</v>
      </c>
      <c r="K14">
        <f>COUNTIFS(Grunnspill!$A:$A,Annex!B14)</f>
        <v>0</v>
      </c>
      <c r="L14">
        <f>COUNTIFS(Grunnspill!$A:$A,Annex!C14)</f>
        <v>0</v>
      </c>
      <c r="M14">
        <f>COUNTIFS(Grunnspill!$A:$A,Annex!D14)</f>
        <v>0</v>
      </c>
      <c r="N14">
        <f>COUNTIFS(Grunnspill!$A:$A,Annex!E14)</f>
        <v>0</v>
      </c>
      <c r="O14">
        <f>COUNTIFS(Grunnspill!$A:$A,Annex!F14)</f>
        <v>0</v>
      </c>
      <c r="P14">
        <f>COUNTIFS(Grunnspill!$A:$A,Annex!G14)</f>
        <v>0</v>
      </c>
      <c r="Q14">
        <f>COUNTIFS(Grunnspill!$A:$A,Annex!H14)</f>
        <v>0</v>
      </c>
      <c r="R14">
        <f>COUNTIFS(Grunnspill!$A:$A,Annex!I14)</f>
        <v>0</v>
      </c>
      <c r="T14" t="s">
        <v>117</v>
      </c>
    </row>
    <row r="15" spans="1:27" x14ac:dyDescent="0.2">
      <c r="A15">
        <v>12</v>
      </c>
      <c r="B15" s="1" t="s">
        <v>102</v>
      </c>
      <c r="C15" s="1" t="s">
        <v>103</v>
      </c>
      <c r="D15" s="1" t="s">
        <v>104</v>
      </c>
      <c r="E15" s="1" t="s">
        <v>111</v>
      </c>
      <c r="F15" s="1" t="s">
        <v>106</v>
      </c>
      <c r="G15" s="1" t="s">
        <v>105</v>
      </c>
      <c r="H15" s="1" t="s">
        <v>108</v>
      </c>
      <c r="I15" s="1" t="s">
        <v>109</v>
      </c>
      <c r="J15">
        <f t="shared" si="1"/>
        <v>0</v>
      </c>
      <c r="K15">
        <f>COUNTIFS(Grunnspill!$A:$A,Annex!B15)</f>
        <v>0</v>
      </c>
      <c r="L15">
        <f>COUNTIFS(Grunnspill!$A:$A,Annex!C15)</f>
        <v>0</v>
      </c>
      <c r="M15">
        <f>COUNTIFS(Grunnspill!$A:$A,Annex!D15)</f>
        <v>0</v>
      </c>
      <c r="N15">
        <f>COUNTIFS(Grunnspill!$A:$A,Annex!E15)</f>
        <v>0</v>
      </c>
      <c r="O15">
        <f>COUNTIFS(Grunnspill!$A:$A,Annex!F15)</f>
        <v>0</v>
      </c>
      <c r="P15">
        <f>COUNTIFS(Grunnspill!$A:$A,Annex!G15)</f>
        <v>0</v>
      </c>
      <c r="Q15">
        <f>COUNTIFS(Grunnspill!$A:$A,Annex!H15)</f>
        <v>0</v>
      </c>
      <c r="R15">
        <f>COUNTIFS(Grunnspill!$A:$A,Annex!I15)</f>
        <v>0</v>
      </c>
    </row>
    <row r="16" spans="1:27" x14ac:dyDescent="0.2">
      <c r="A16">
        <v>13</v>
      </c>
      <c r="B16" s="1" t="s">
        <v>102</v>
      </c>
      <c r="C16" s="1" t="s">
        <v>107</v>
      </c>
      <c r="D16" s="1" t="s">
        <v>104</v>
      </c>
      <c r="E16" s="1" t="s">
        <v>111</v>
      </c>
      <c r="F16" s="1" t="s">
        <v>103</v>
      </c>
      <c r="G16" s="1" t="s">
        <v>105</v>
      </c>
      <c r="H16" s="1" t="s">
        <v>108</v>
      </c>
      <c r="I16" s="1" t="s">
        <v>109</v>
      </c>
      <c r="J16">
        <f t="shared" si="1"/>
        <v>0</v>
      </c>
      <c r="K16">
        <f>COUNTIFS(Grunnspill!$A:$A,Annex!B16)</f>
        <v>0</v>
      </c>
      <c r="L16">
        <f>COUNTIFS(Grunnspill!$A:$A,Annex!C16)</f>
        <v>0</v>
      </c>
      <c r="M16">
        <f>COUNTIFS(Grunnspill!$A:$A,Annex!D16)</f>
        <v>0</v>
      </c>
      <c r="N16">
        <f>COUNTIFS(Grunnspill!$A:$A,Annex!E16)</f>
        <v>0</v>
      </c>
      <c r="O16">
        <f>COUNTIFS(Grunnspill!$A:$A,Annex!F16)</f>
        <v>0</v>
      </c>
      <c r="P16">
        <f>COUNTIFS(Grunnspill!$A:$A,Annex!G16)</f>
        <v>0</v>
      </c>
      <c r="Q16">
        <f>COUNTIFS(Grunnspill!$A:$A,Annex!H16)</f>
        <v>0</v>
      </c>
      <c r="R16">
        <f>COUNTIFS(Grunnspill!$A:$A,Annex!I16)</f>
        <v>0</v>
      </c>
    </row>
    <row r="17" spans="1:18" x14ac:dyDescent="0.2">
      <c r="A17">
        <v>14</v>
      </c>
      <c r="B17" s="1" t="s">
        <v>102</v>
      </c>
      <c r="C17" s="1" t="s">
        <v>107</v>
      </c>
      <c r="D17" s="1" t="s">
        <v>103</v>
      </c>
      <c r="E17" s="1" t="s">
        <v>111</v>
      </c>
      <c r="F17" s="1" t="s">
        <v>106</v>
      </c>
      <c r="G17" s="1" t="s">
        <v>105</v>
      </c>
      <c r="H17" s="1" t="s">
        <v>108</v>
      </c>
      <c r="I17" s="1" t="s">
        <v>109</v>
      </c>
      <c r="J17">
        <f t="shared" si="1"/>
        <v>0</v>
      </c>
      <c r="K17">
        <f>COUNTIFS(Grunnspill!$A:$A,Annex!B17)</f>
        <v>0</v>
      </c>
      <c r="L17">
        <f>COUNTIFS(Grunnspill!$A:$A,Annex!C17)</f>
        <v>0</v>
      </c>
      <c r="M17">
        <f>COUNTIFS(Grunnspill!$A:$A,Annex!D17)</f>
        <v>0</v>
      </c>
      <c r="N17">
        <f>COUNTIFS(Grunnspill!$A:$A,Annex!E17)</f>
        <v>0</v>
      </c>
      <c r="O17">
        <f>COUNTIFS(Grunnspill!$A:$A,Annex!F17)</f>
        <v>0</v>
      </c>
      <c r="P17">
        <f>COUNTIFS(Grunnspill!$A:$A,Annex!G17)</f>
        <v>0</v>
      </c>
      <c r="Q17">
        <f>COUNTIFS(Grunnspill!$A:$A,Annex!H17)</f>
        <v>0</v>
      </c>
      <c r="R17">
        <f>COUNTIFS(Grunnspill!$A:$A,Annex!I17)</f>
        <v>0</v>
      </c>
    </row>
    <row r="18" spans="1:18" x14ac:dyDescent="0.2">
      <c r="A18">
        <v>15</v>
      </c>
      <c r="B18" s="1" t="s">
        <v>102</v>
      </c>
      <c r="C18" s="1" t="s">
        <v>107</v>
      </c>
      <c r="D18" s="1" t="s">
        <v>104</v>
      </c>
      <c r="E18" s="1" t="s">
        <v>111</v>
      </c>
      <c r="F18" s="1" t="s">
        <v>106</v>
      </c>
      <c r="G18" s="1" t="s">
        <v>105</v>
      </c>
      <c r="H18" s="1" t="s">
        <v>108</v>
      </c>
      <c r="I18" s="1" t="s">
        <v>109</v>
      </c>
      <c r="J18">
        <f t="shared" si="1"/>
        <v>0</v>
      </c>
      <c r="K18">
        <f>COUNTIFS(Grunnspill!$A:$A,Annex!B18)</f>
        <v>0</v>
      </c>
      <c r="L18">
        <f>COUNTIFS(Grunnspill!$A:$A,Annex!C18)</f>
        <v>0</v>
      </c>
      <c r="M18">
        <f>COUNTIFS(Grunnspill!$A:$A,Annex!D18)</f>
        <v>0</v>
      </c>
      <c r="N18">
        <f>COUNTIFS(Grunnspill!$A:$A,Annex!E18)</f>
        <v>0</v>
      </c>
      <c r="O18">
        <f>COUNTIFS(Grunnspill!$A:$A,Annex!F18)</f>
        <v>0</v>
      </c>
      <c r="P18">
        <f>COUNTIFS(Grunnspill!$A:$A,Annex!G18)</f>
        <v>0</v>
      </c>
      <c r="Q18">
        <f>COUNTIFS(Grunnspill!$A:$A,Annex!H18)</f>
        <v>0</v>
      </c>
      <c r="R18">
        <f>COUNTIFS(Grunnspill!$A:$A,Annex!I18)</f>
        <v>0</v>
      </c>
    </row>
    <row r="19" spans="1:18" x14ac:dyDescent="0.2">
      <c r="A19">
        <v>16</v>
      </c>
      <c r="B19" s="1" t="s">
        <v>102</v>
      </c>
      <c r="C19" s="1" t="s">
        <v>107</v>
      </c>
      <c r="D19" s="1" t="s">
        <v>103</v>
      </c>
      <c r="E19" s="1" t="s">
        <v>111</v>
      </c>
      <c r="F19" s="1" t="s">
        <v>106</v>
      </c>
      <c r="G19" s="1" t="s">
        <v>105</v>
      </c>
      <c r="H19" s="1" t="s">
        <v>108</v>
      </c>
      <c r="I19" s="1" t="s">
        <v>104</v>
      </c>
      <c r="J19">
        <f t="shared" si="1"/>
        <v>0</v>
      </c>
      <c r="K19">
        <f>COUNTIFS(Grunnspill!$A:$A,Annex!B19)</f>
        <v>0</v>
      </c>
      <c r="L19">
        <f>COUNTIFS(Grunnspill!$A:$A,Annex!C19)</f>
        <v>0</v>
      </c>
      <c r="M19">
        <f>COUNTIFS(Grunnspill!$A:$A,Annex!D19)</f>
        <v>0</v>
      </c>
      <c r="N19">
        <f>COUNTIFS(Grunnspill!$A:$A,Annex!E19)</f>
        <v>0</v>
      </c>
      <c r="O19">
        <f>COUNTIFS(Grunnspill!$A:$A,Annex!F19)</f>
        <v>0</v>
      </c>
      <c r="P19">
        <f>COUNTIFS(Grunnspill!$A:$A,Annex!G19)</f>
        <v>0</v>
      </c>
      <c r="Q19">
        <f>COUNTIFS(Grunnspill!$A:$A,Annex!H19)</f>
        <v>0</v>
      </c>
      <c r="R19">
        <f>COUNTIFS(Grunnspill!$A:$A,Annex!I19)</f>
        <v>0</v>
      </c>
    </row>
    <row r="20" spans="1:18" x14ac:dyDescent="0.2">
      <c r="A20">
        <v>17</v>
      </c>
      <c r="B20" s="1" t="s">
        <v>102</v>
      </c>
      <c r="C20" s="1" t="s">
        <v>107</v>
      </c>
      <c r="D20" s="1" t="s">
        <v>103</v>
      </c>
      <c r="E20" s="1" t="s">
        <v>111</v>
      </c>
      <c r="F20" s="1" t="s">
        <v>106</v>
      </c>
      <c r="G20" s="1" t="s">
        <v>105</v>
      </c>
      <c r="H20" s="1" t="s">
        <v>104</v>
      </c>
      <c r="I20" s="1" t="s">
        <v>109</v>
      </c>
      <c r="J20">
        <f t="shared" si="1"/>
        <v>0</v>
      </c>
      <c r="K20">
        <f>COUNTIFS(Grunnspill!$A:$A,Annex!B20)</f>
        <v>0</v>
      </c>
      <c r="L20">
        <f>COUNTIFS(Grunnspill!$A:$A,Annex!C20)</f>
        <v>0</v>
      </c>
      <c r="M20">
        <f>COUNTIFS(Grunnspill!$A:$A,Annex!D20)</f>
        <v>0</v>
      </c>
      <c r="N20">
        <f>COUNTIFS(Grunnspill!$A:$A,Annex!E20)</f>
        <v>0</v>
      </c>
      <c r="O20">
        <f>COUNTIFS(Grunnspill!$A:$A,Annex!F20)</f>
        <v>0</v>
      </c>
      <c r="P20">
        <f>COUNTIFS(Grunnspill!$A:$A,Annex!G20)</f>
        <v>0</v>
      </c>
      <c r="Q20">
        <f>COUNTIFS(Grunnspill!$A:$A,Annex!H20)</f>
        <v>0</v>
      </c>
      <c r="R20">
        <f>COUNTIFS(Grunnspill!$A:$A,Annex!I20)</f>
        <v>0</v>
      </c>
    </row>
    <row r="21" spans="1:18" x14ac:dyDescent="0.2">
      <c r="A21">
        <v>18</v>
      </c>
      <c r="B21" s="1" t="s">
        <v>106</v>
      </c>
      <c r="C21" s="1" t="s">
        <v>107</v>
      </c>
      <c r="D21" s="1" t="s">
        <v>104</v>
      </c>
      <c r="E21" s="1" t="s">
        <v>111</v>
      </c>
      <c r="F21" s="1" t="s">
        <v>103</v>
      </c>
      <c r="G21" s="1" t="s">
        <v>110</v>
      </c>
      <c r="H21" s="1" t="s">
        <v>108</v>
      </c>
      <c r="I21" s="1" t="s">
        <v>109</v>
      </c>
      <c r="J21">
        <f t="shared" si="1"/>
        <v>0</v>
      </c>
      <c r="K21">
        <f>COUNTIFS(Grunnspill!$A:$A,Annex!B21)</f>
        <v>0</v>
      </c>
      <c r="L21">
        <f>COUNTIFS(Grunnspill!$A:$A,Annex!C21)</f>
        <v>0</v>
      </c>
      <c r="M21">
        <f>COUNTIFS(Grunnspill!$A:$A,Annex!D21)</f>
        <v>0</v>
      </c>
      <c r="N21">
        <f>COUNTIFS(Grunnspill!$A:$A,Annex!E21)</f>
        <v>0</v>
      </c>
      <c r="O21">
        <f>COUNTIFS(Grunnspill!$A:$A,Annex!F21)</f>
        <v>0</v>
      </c>
      <c r="P21">
        <f>COUNTIFS(Grunnspill!$A:$A,Annex!G21)</f>
        <v>0</v>
      </c>
      <c r="Q21">
        <f>COUNTIFS(Grunnspill!$A:$A,Annex!H21)</f>
        <v>0</v>
      </c>
      <c r="R21">
        <f>COUNTIFS(Grunnspill!$A:$A,Annex!I21)</f>
        <v>0</v>
      </c>
    </row>
    <row r="22" spans="1:18" x14ac:dyDescent="0.2">
      <c r="A22">
        <v>19</v>
      </c>
      <c r="B22" s="1" t="s">
        <v>111</v>
      </c>
      <c r="C22" s="1" t="s">
        <v>103</v>
      </c>
      <c r="D22" s="1" t="s">
        <v>104</v>
      </c>
      <c r="E22" s="1" t="s">
        <v>110</v>
      </c>
      <c r="F22" s="1" t="s">
        <v>106</v>
      </c>
      <c r="G22" s="1" t="s">
        <v>105</v>
      </c>
      <c r="H22" s="1" t="s">
        <v>108</v>
      </c>
      <c r="I22" s="1" t="s">
        <v>109</v>
      </c>
      <c r="J22">
        <f t="shared" ref="J22:J85" si="3">SUM(K22:R22)</f>
        <v>0</v>
      </c>
      <c r="K22">
        <f>COUNTIFS(Grunnspill!$A:$A,Annex!B22)</f>
        <v>0</v>
      </c>
      <c r="L22">
        <f>COUNTIFS(Grunnspill!$A:$A,Annex!C22)</f>
        <v>0</v>
      </c>
      <c r="M22">
        <f>COUNTIFS(Grunnspill!$A:$A,Annex!D22)</f>
        <v>0</v>
      </c>
      <c r="N22">
        <f>COUNTIFS(Grunnspill!$A:$A,Annex!E22)</f>
        <v>0</v>
      </c>
      <c r="O22">
        <f>COUNTIFS(Grunnspill!$A:$A,Annex!F22)</f>
        <v>0</v>
      </c>
      <c r="P22">
        <f>COUNTIFS(Grunnspill!$A:$A,Annex!G22)</f>
        <v>0</v>
      </c>
      <c r="Q22">
        <f>COUNTIFS(Grunnspill!$A:$A,Annex!H22)</f>
        <v>0</v>
      </c>
      <c r="R22">
        <f>COUNTIFS(Grunnspill!$A:$A,Annex!I22)</f>
        <v>0</v>
      </c>
    </row>
    <row r="23" spans="1:18" x14ac:dyDescent="0.2">
      <c r="A23">
        <v>20</v>
      </c>
      <c r="B23" s="1" t="s">
        <v>111</v>
      </c>
      <c r="C23" s="1" t="s">
        <v>107</v>
      </c>
      <c r="D23" s="1" t="s">
        <v>104</v>
      </c>
      <c r="E23" s="1" t="s">
        <v>110</v>
      </c>
      <c r="F23" s="1" t="s">
        <v>103</v>
      </c>
      <c r="G23" s="1" t="s">
        <v>105</v>
      </c>
      <c r="H23" s="1" t="s">
        <v>108</v>
      </c>
      <c r="I23" s="1" t="s">
        <v>109</v>
      </c>
      <c r="J23">
        <f t="shared" si="3"/>
        <v>0</v>
      </c>
      <c r="K23">
        <f>COUNTIFS(Grunnspill!$A:$A,Annex!B23)</f>
        <v>0</v>
      </c>
      <c r="L23">
        <f>COUNTIFS(Grunnspill!$A:$A,Annex!C23)</f>
        <v>0</v>
      </c>
      <c r="M23">
        <f>COUNTIFS(Grunnspill!$A:$A,Annex!D23)</f>
        <v>0</v>
      </c>
      <c r="N23">
        <f>COUNTIFS(Grunnspill!$A:$A,Annex!E23)</f>
        <v>0</v>
      </c>
      <c r="O23">
        <f>COUNTIFS(Grunnspill!$A:$A,Annex!F23)</f>
        <v>0</v>
      </c>
      <c r="P23">
        <f>COUNTIFS(Grunnspill!$A:$A,Annex!G23)</f>
        <v>0</v>
      </c>
      <c r="Q23">
        <f>COUNTIFS(Grunnspill!$A:$A,Annex!H23)</f>
        <v>0</v>
      </c>
      <c r="R23">
        <f>COUNTIFS(Grunnspill!$A:$A,Annex!I23)</f>
        <v>0</v>
      </c>
    </row>
    <row r="24" spans="1:18" x14ac:dyDescent="0.2">
      <c r="A24">
        <v>21</v>
      </c>
      <c r="B24" s="1" t="s">
        <v>111</v>
      </c>
      <c r="C24" s="1" t="s">
        <v>107</v>
      </c>
      <c r="D24" s="1" t="s">
        <v>103</v>
      </c>
      <c r="E24" s="1" t="s">
        <v>110</v>
      </c>
      <c r="F24" s="1" t="s">
        <v>106</v>
      </c>
      <c r="G24" s="1" t="s">
        <v>105</v>
      </c>
      <c r="H24" s="1" t="s">
        <v>108</v>
      </c>
      <c r="I24" s="1" t="s">
        <v>109</v>
      </c>
      <c r="J24">
        <f t="shared" si="3"/>
        <v>0</v>
      </c>
      <c r="K24">
        <f>COUNTIFS(Grunnspill!$A:$A,Annex!B24)</f>
        <v>0</v>
      </c>
      <c r="L24">
        <f>COUNTIFS(Grunnspill!$A:$A,Annex!C24)</f>
        <v>0</v>
      </c>
      <c r="M24">
        <f>COUNTIFS(Grunnspill!$A:$A,Annex!D24)</f>
        <v>0</v>
      </c>
      <c r="N24">
        <f>COUNTIFS(Grunnspill!$A:$A,Annex!E24)</f>
        <v>0</v>
      </c>
      <c r="O24">
        <f>COUNTIFS(Grunnspill!$A:$A,Annex!F24)</f>
        <v>0</v>
      </c>
      <c r="P24">
        <f>COUNTIFS(Grunnspill!$A:$A,Annex!G24)</f>
        <v>0</v>
      </c>
      <c r="Q24">
        <f>COUNTIFS(Grunnspill!$A:$A,Annex!H24)</f>
        <v>0</v>
      </c>
      <c r="R24">
        <f>COUNTIFS(Grunnspill!$A:$A,Annex!I24)</f>
        <v>0</v>
      </c>
    </row>
    <row r="25" spans="1:18" x14ac:dyDescent="0.2">
      <c r="A25">
        <v>22</v>
      </c>
      <c r="B25" s="1" t="s">
        <v>111</v>
      </c>
      <c r="C25" s="1" t="s">
        <v>107</v>
      </c>
      <c r="D25" s="1" t="s">
        <v>104</v>
      </c>
      <c r="E25" s="1" t="s">
        <v>110</v>
      </c>
      <c r="F25" s="1" t="s">
        <v>106</v>
      </c>
      <c r="G25" s="1" t="s">
        <v>105</v>
      </c>
      <c r="H25" s="1" t="s">
        <v>108</v>
      </c>
      <c r="I25" s="1" t="s">
        <v>109</v>
      </c>
      <c r="J25">
        <f t="shared" si="3"/>
        <v>0</v>
      </c>
      <c r="K25">
        <f>COUNTIFS(Grunnspill!$A:$A,Annex!B25)</f>
        <v>0</v>
      </c>
      <c r="L25">
        <f>COUNTIFS(Grunnspill!$A:$A,Annex!C25)</f>
        <v>0</v>
      </c>
      <c r="M25">
        <f>COUNTIFS(Grunnspill!$A:$A,Annex!D25)</f>
        <v>0</v>
      </c>
      <c r="N25">
        <f>COUNTIFS(Grunnspill!$A:$A,Annex!E25)</f>
        <v>0</v>
      </c>
      <c r="O25">
        <f>COUNTIFS(Grunnspill!$A:$A,Annex!F25)</f>
        <v>0</v>
      </c>
      <c r="P25">
        <f>COUNTIFS(Grunnspill!$A:$A,Annex!G25)</f>
        <v>0</v>
      </c>
      <c r="Q25">
        <f>COUNTIFS(Grunnspill!$A:$A,Annex!H25)</f>
        <v>0</v>
      </c>
      <c r="R25">
        <f>COUNTIFS(Grunnspill!$A:$A,Annex!I25)</f>
        <v>0</v>
      </c>
    </row>
    <row r="26" spans="1:18" x14ac:dyDescent="0.2">
      <c r="A26">
        <v>23</v>
      </c>
      <c r="B26" s="1" t="s">
        <v>111</v>
      </c>
      <c r="C26" s="1" t="s">
        <v>107</v>
      </c>
      <c r="D26" s="1" t="s">
        <v>103</v>
      </c>
      <c r="E26" s="1" t="s">
        <v>110</v>
      </c>
      <c r="F26" s="1" t="s">
        <v>106</v>
      </c>
      <c r="G26" s="1" t="s">
        <v>105</v>
      </c>
      <c r="H26" s="1" t="s">
        <v>108</v>
      </c>
      <c r="I26" s="1" t="s">
        <v>104</v>
      </c>
      <c r="J26">
        <f t="shared" si="3"/>
        <v>0</v>
      </c>
      <c r="K26">
        <f>COUNTIFS(Grunnspill!$A:$A,Annex!B26)</f>
        <v>0</v>
      </c>
      <c r="L26">
        <f>COUNTIFS(Grunnspill!$A:$A,Annex!C26)</f>
        <v>0</v>
      </c>
      <c r="M26">
        <f>COUNTIFS(Grunnspill!$A:$A,Annex!D26)</f>
        <v>0</v>
      </c>
      <c r="N26">
        <f>COUNTIFS(Grunnspill!$A:$A,Annex!E26)</f>
        <v>0</v>
      </c>
      <c r="O26">
        <f>COUNTIFS(Grunnspill!$A:$A,Annex!F26)</f>
        <v>0</v>
      </c>
      <c r="P26">
        <f>COUNTIFS(Grunnspill!$A:$A,Annex!G26)</f>
        <v>0</v>
      </c>
      <c r="Q26">
        <f>COUNTIFS(Grunnspill!$A:$A,Annex!H26)</f>
        <v>0</v>
      </c>
      <c r="R26">
        <f>COUNTIFS(Grunnspill!$A:$A,Annex!I26)</f>
        <v>0</v>
      </c>
    </row>
    <row r="27" spans="1:18" x14ac:dyDescent="0.2">
      <c r="A27">
        <v>24</v>
      </c>
      <c r="B27" s="1" t="s">
        <v>111</v>
      </c>
      <c r="C27" s="1" t="s">
        <v>107</v>
      </c>
      <c r="D27" s="1" t="s">
        <v>103</v>
      </c>
      <c r="E27" s="1" t="s">
        <v>110</v>
      </c>
      <c r="F27" s="1" t="s">
        <v>106</v>
      </c>
      <c r="G27" s="1" t="s">
        <v>105</v>
      </c>
      <c r="H27" s="1" t="s">
        <v>104</v>
      </c>
      <c r="I27" s="1" t="s">
        <v>109</v>
      </c>
      <c r="J27">
        <f t="shared" si="3"/>
        <v>0</v>
      </c>
      <c r="K27">
        <f>COUNTIFS(Grunnspill!$A:$A,Annex!B27)</f>
        <v>0</v>
      </c>
      <c r="L27">
        <f>COUNTIFS(Grunnspill!$A:$A,Annex!C27)</f>
        <v>0</v>
      </c>
      <c r="M27">
        <f>COUNTIFS(Grunnspill!$A:$A,Annex!D27)</f>
        <v>0</v>
      </c>
      <c r="N27">
        <f>COUNTIFS(Grunnspill!$A:$A,Annex!E27)</f>
        <v>0</v>
      </c>
      <c r="O27">
        <f>COUNTIFS(Grunnspill!$A:$A,Annex!F27)</f>
        <v>0</v>
      </c>
      <c r="P27">
        <f>COUNTIFS(Grunnspill!$A:$A,Annex!G27)</f>
        <v>0</v>
      </c>
      <c r="Q27">
        <f>COUNTIFS(Grunnspill!$A:$A,Annex!H27)</f>
        <v>0</v>
      </c>
      <c r="R27">
        <f>COUNTIFS(Grunnspill!$A:$A,Annex!I27)</f>
        <v>0</v>
      </c>
    </row>
    <row r="28" spans="1:18" x14ac:dyDescent="0.2">
      <c r="A28">
        <v>25</v>
      </c>
      <c r="B28" s="1" t="s">
        <v>102</v>
      </c>
      <c r="C28" s="1" t="s">
        <v>103</v>
      </c>
      <c r="D28" s="1" t="s">
        <v>104</v>
      </c>
      <c r="E28" s="1" t="s">
        <v>111</v>
      </c>
      <c r="F28" s="1" t="s">
        <v>106</v>
      </c>
      <c r="G28" s="1" t="s">
        <v>110</v>
      </c>
      <c r="H28" s="1" t="s">
        <v>108</v>
      </c>
      <c r="I28" s="1" t="s">
        <v>109</v>
      </c>
      <c r="J28">
        <f t="shared" si="3"/>
        <v>0</v>
      </c>
      <c r="K28">
        <f>COUNTIFS(Grunnspill!$A:$A,Annex!B28)</f>
        <v>0</v>
      </c>
      <c r="L28">
        <f>COUNTIFS(Grunnspill!$A:$A,Annex!C28)</f>
        <v>0</v>
      </c>
      <c r="M28">
        <f>COUNTIFS(Grunnspill!$A:$A,Annex!D28)</f>
        <v>0</v>
      </c>
      <c r="N28">
        <f>COUNTIFS(Grunnspill!$A:$A,Annex!E28)</f>
        <v>0</v>
      </c>
      <c r="O28">
        <f>COUNTIFS(Grunnspill!$A:$A,Annex!F28)</f>
        <v>0</v>
      </c>
      <c r="P28">
        <f>COUNTIFS(Grunnspill!$A:$A,Annex!G28)</f>
        <v>0</v>
      </c>
      <c r="Q28">
        <f>COUNTIFS(Grunnspill!$A:$A,Annex!H28)</f>
        <v>0</v>
      </c>
      <c r="R28">
        <f>COUNTIFS(Grunnspill!$A:$A,Annex!I28)</f>
        <v>0</v>
      </c>
    </row>
    <row r="29" spans="1:18" x14ac:dyDescent="0.2">
      <c r="A29">
        <v>26</v>
      </c>
      <c r="B29" s="1" t="s">
        <v>102</v>
      </c>
      <c r="C29" s="1" t="s">
        <v>107</v>
      </c>
      <c r="D29" s="1" t="s">
        <v>104</v>
      </c>
      <c r="E29" s="1" t="s">
        <v>111</v>
      </c>
      <c r="F29" s="1" t="s">
        <v>103</v>
      </c>
      <c r="G29" s="1" t="s">
        <v>110</v>
      </c>
      <c r="H29" s="1" t="s">
        <v>108</v>
      </c>
      <c r="I29" s="1" t="s">
        <v>109</v>
      </c>
      <c r="J29">
        <f t="shared" si="3"/>
        <v>0</v>
      </c>
      <c r="K29">
        <f>COUNTIFS(Grunnspill!$A:$A,Annex!B29)</f>
        <v>0</v>
      </c>
      <c r="L29">
        <f>COUNTIFS(Grunnspill!$A:$A,Annex!C29)</f>
        <v>0</v>
      </c>
      <c r="M29">
        <f>COUNTIFS(Grunnspill!$A:$A,Annex!D29)</f>
        <v>0</v>
      </c>
      <c r="N29">
        <f>COUNTIFS(Grunnspill!$A:$A,Annex!E29)</f>
        <v>0</v>
      </c>
      <c r="O29">
        <f>COUNTIFS(Grunnspill!$A:$A,Annex!F29)</f>
        <v>0</v>
      </c>
      <c r="P29">
        <f>COUNTIFS(Grunnspill!$A:$A,Annex!G29)</f>
        <v>0</v>
      </c>
      <c r="Q29">
        <f>COUNTIFS(Grunnspill!$A:$A,Annex!H29)</f>
        <v>0</v>
      </c>
      <c r="R29">
        <f>COUNTIFS(Grunnspill!$A:$A,Annex!I29)</f>
        <v>0</v>
      </c>
    </row>
    <row r="30" spans="1:18" x14ac:dyDescent="0.2">
      <c r="A30">
        <v>27</v>
      </c>
      <c r="B30" s="1" t="s">
        <v>102</v>
      </c>
      <c r="C30" s="1" t="s">
        <v>107</v>
      </c>
      <c r="D30" s="1" t="s">
        <v>103</v>
      </c>
      <c r="E30" s="1" t="s">
        <v>111</v>
      </c>
      <c r="F30" s="1" t="s">
        <v>106</v>
      </c>
      <c r="G30" s="1" t="s">
        <v>110</v>
      </c>
      <c r="H30" s="1" t="s">
        <v>108</v>
      </c>
      <c r="I30" s="1" t="s">
        <v>109</v>
      </c>
      <c r="J30">
        <f t="shared" si="3"/>
        <v>0</v>
      </c>
      <c r="K30">
        <f>COUNTIFS(Grunnspill!$A:$A,Annex!B30)</f>
        <v>0</v>
      </c>
      <c r="L30">
        <f>COUNTIFS(Grunnspill!$A:$A,Annex!C30)</f>
        <v>0</v>
      </c>
      <c r="M30">
        <f>COUNTIFS(Grunnspill!$A:$A,Annex!D30)</f>
        <v>0</v>
      </c>
      <c r="N30">
        <f>COUNTIFS(Grunnspill!$A:$A,Annex!E30)</f>
        <v>0</v>
      </c>
      <c r="O30">
        <f>COUNTIFS(Grunnspill!$A:$A,Annex!F30)</f>
        <v>0</v>
      </c>
      <c r="P30">
        <f>COUNTIFS(Grunnspill!$A:$A,Annex!G30)</f>
        <v>0</v>
      </c>
      <c r="Q30">
        <f>COUNTIFS(Grunnspill!$A:$A,Annex!H30)</f>
        <v>0</v>
      </c>
      <c r="R30">
        <f>COUNTIFS(Grunnspill!$A:$A,Annex!I30)</f>
        <v>0</v>
      </c>
    </row>
    <row r="31" spans="1:18" x14ac:dyDescent="0.2">
      <c r="A31">
        <v>28</v>
      </c>
      <c r="B31" s="1" t="s">
        <v>102</v>
      </c>
      <c r="C31" s="1" t="s">
        <v>107</v>
      </c>
      <c r="D31" s="1" t="s">
        <v>104</v>
      </c>
      <c r="E31" s="1" t="s">
        <v>111</v>
      </c>
      <c r="F31" s="1" t="s">
        <v>106</v>
      </c>
      <c r="G31" s="1" t="s">
        <v>110</v>
      </c>
      <c r="H31" s="1" t="s">
        <v>108</v>
      </c>
      <c r="I31" s="1" t="s">
        <v>109</v>
      </c>
      <c r="J31">
        <f t="shared" si="3"/>
        <v>0</v>
      </c>
      <c r="K31">
        <f>COUNTIFS(Grunnspill!$A:$A,Annex!B31)</f>
        <v>0</v>
      </c>
      <c r="L31">
        <f>COUNTIFS(Grunnspill!$A:$A,Annex!C31)</f>
        <v>0</v>
      </c>
      <c r="M31">
        <f>COUNTIFS(Grunnspill!$A:$A,Annex!D31)</f>
        <v>0</v>
      </c>
      <c r="N31">
        <f>COUNTIFS(Grunnspill!$A:$A,Annex!E31)</f>
        <v>0</v>
      </c>
      <c r="O31">
        <f>COUNTIFS(Grunnspill!$A:$A,Annex!F31)</f>
        <v>0</v>
      </c>
      <c r="P31">
        <f>COUNTIFS(Grunnspill!$A:$A,Annex!G31)</f>
        <v>0</v>
      </c>
      <c r="Q31">
        <f>COUNTIFS(Grunnspill!$A:$A,Annex!H31)</f>
        <v>0</v>
      </c>
      <c r="R31">
        <f>COUNTIFS(Grunnspill!$A:$A,Annex!I31)</f>
        <v>0</v>
      </c>
    </row>
    <row r="32" spans="1:18" x14ac:dyDescent="0.2">
      <c r="A32">
        <v>29</v>
      </c>
      <c r="B32" s="1" t="s">
        <v>102</v>
      </c>
      <c r="C32" s="1" t="s">
        <v>107</v>
      </c>
      <c r="D32" s="1" t="s">
        <v>103</v>
      </c>
      <c r="E32" s="1" t="s">
        <v>111</v>
      </c>
      <c r="F32" s="1" t="s">
        <v>106</v>
      </c>
      <c r="G32" s="1" t="s">
        <v>110</v>
      </c>
      <c r="H32" s="1" t="s">
        <v>108</v>
      </c>
      <c r="I32" s="1" t="s">
        <v>104</v>
      </c>
      <c r="J32">
        <f t="shared" si="3"/>
        <v>0</v>
      </c>
      <c r="K32">
        <f>COUNTIFS(Grunnspill!$A:$A,Annex!B32)</f>
        <v>0</v>
      </c>
      <c r="L32">
        <f>COUNTIFS(Grunnspill!$A:$A,Annex!C32)</f>
        <v>0</v>
      </c>
      <c r="M32">
        <f>COUNTIFS(Grunnspill!$A:$A,Annex!D32)</f>
        <v>0</v>
      </c>
      <c r="N32">
        <f>COUNTIFS(Grunnspill!$A:$A,Annex!E32)</f>
        <v>0</v>
      </c>
      <c r="O32">
        <f>COUNTIFS(Grunnspill!$A:$A,Annex!F32)</f>
        <v>0</v>
      </c>
      <c r="P32">
        <f>COUNTIFS(Grunnspill!$A:$A,Annex!G32)</f>
        <v>0</v>
      </c>
      <c r="Q32">
        <f>COUNTIFS(Grunnspill!$A:$A,Annex!H32)</f>
        <v>0</v>
      </c>
      <c r="R32">
        <f>COUNTIFS(Grunnspill!$A:$A,Annex!I32)</f>
        <v>0</v>
      </c>
    </row>
    <row r="33" spans="1:18" x14ac:dyDescent="0.2">
      <c r="A33">
        <v>30</v>
      </c>
      <c r="B33" s="1" t="s">
        <v>102</v>
      </c>
      <c r="C33" s="1" t="s">
        <v>107</v>
      </c>
      <c r="D33" s="1" t="s">
        <v>103</v>
      </c>
      <c r="E33" s="1" t="s">
        <v>111</v>
      </c>
      <c r="F33" s="1" t="s">
        <v>106</v>
      </c>
      <c r="G33" s="1" t="s">
        <v>110</v>
      </c>
      <c r="H33" s="1" t="s">
        <v>104</v>
      </c>
      <c r="I33" s="1" t="s">
        <v>109</v>
      </c>
      <c r="J33">
        <f t="shared" si="3"/>
        <v>0</v>
      </c>
      <c r="K33">
        <f>COUNTIFS(Grunnspill!$A:$A,Annex!B33)</f>
        <v>0</v>
      </c>
      <c r="L33">
        <f>COUNTIFS(Grunnspill!$A:$A,Annex!C33)</f>
        <v>0</v>
      </c>
      <c r="M33">
        <f>COUNTIFS(Grunnspill!$A:$A,Annex!D33)</f>
        <v>0</v>
      </c>
      <c r="N33">
        <f>COUNTIFS(Grunnspill!$A:$A,Annex!E33)</f>
        <v>0</v>
      </c>
      <c r="O33">
        <f>COUNTIFS(Grunnspill!$A:$A,Annex!F33)</f>
        <v>0</v>
      </c>
      <c r="P33">
        <f>COUNTIFS(Grunnspill!$A:$A,Annex!G33)</f>
        <v>0</v>
      </c>
      <c r="Q33">
        <f>COUNTIFS(Grunnspill!$A:$A,Annex!H33)</f>
        <v>0</v>
      </c>
      <c r="R33">
        <f>COUNTIFS(Grunnspill!$A:$A,Annex!I33)</f>
        <v>0</v>
      </c>
    </row>
    <row r="34" spans="1:18" x14ac:dyDescent="0.2">
      <c r="A34">
        <v>31</v>
      </c>
      <c r="B34" s="1" t="s">
        <v>111</v>
      </c>
      <c r="C34" s="1" t="s">
        <v>103</v>
      </c>
      <c r="D34" s="1" t="s">
        <v>102</v>
      </c>
      <c r="E34" s="1" t="s">
        <v>110</v>
      </c>
      <c r="F34" s="1" t="s">
        <v>104</v>
      </c>
      <c r="G34" s="1" t="s">
        <v>105</v>
      </c>
      <c r="H34" s="1" t="s">
        <v>108</v>
      </c>
      <c r="I34" s="1" t="s">
        <v>109</v>
      </c>
      <c r="J34">
        <f t="shared" si="3"/>
        <v>0</v>
      </c>
      <c r="K34">
        <f>COUNTIFS(Grunnspill!$A:$A,Annex!B34)</f>
        <v>0</v>
      </c>
      <c r="L34">
        <f>COUNTIFS(Grunnspill!$A:$A,Annex!C34)</f>
        <v>0</v>
      </c>
      <c r="M34">
        <f>COUNTIFS(Grunnspill!$A:$A,Annex!D34)</f>
        <v>0</v>
      </c>
      <c r="N34">
        <f>COUNTIFS(Grunnspill!$A:$A,Annex!E34)</f>
        <v>0</v>
      </c>
      <c r="O34">
        <f>COUNTIFS(Grunnspill!$A:$A,Annex!F34)</f>
        <v>0</v>
      </c>
      <c r="P34">
        <f>COUNTIFS(Grunnspill!$A:$A,Annex!G34)</f>
        <v>0</v>
      </c>
      <c r="Q34">
        <f>COUNTIFS(Grunnspill!$A:$A,Annex!H34)</f>
        <v>0</v>
      </c>
      <c r="R34">
        <f>COUNTIFS(Grunnspill!$A:$A,Annex!I34)</f>
        <v>0</v>
      </c>
    </row>
    <row r="35" spans="1:18" x14ac:dyDescent="0.2">
      <c r="A35">
        <v>32</v>
      </c>
      <c r="B35" s="1" t="s">
        <v>111</v>
      </c>
      <c r="C35" s="1" t="s">
        <v>103</v>
      </c>
      <c r="D35" s="1" t="s">
        <v>102</v>
      </c>
      <c r="E35" s="1" t="s">
        <v>110</v>
      </c>
      <c r="F35" s="1" t="s">
        <v>106</v>
      </c>
      <c r="G35" s="1" t="s">
        <v>105</v>
      </c>
      <c r="H35" s="1" t="s">
        <v>108</v>
      </c>
      <c r="I35" s="1" t="s">
        <v>109</v>
      </c>
      <c r="J35">
        <f t="shared" si="3"/>
        <v>0</v>
      </c>
      <c r="K35">
        <f>COUNTIFS(Grunnspill!$A:$A,Annex!B35)</f>
        <v>0</v>
      </c>
      <c r="L35">
        <f>COUNTIFS(Grunnspill!$A:$A,Annex!C35)</f>
        <v>0</v>
      </c>
      <c r="M35">
        <f>COUNTIFS(Grunnspill!$A:$A,Annex!D35)</f>
        <v>0</v>
      </c>
      <c r="N35">
        <f>COUNTIFS(Grunnspill!$A:$A,Annex!E35)</f>
        <v>0</v>
      </c>
      <c r="O35">
        <f>COUNTIFS(Grunnspill!$A:$A,Annex!F35)</f>
        <v>0</v>
      </c>
      <c r="P35">
        <f>COUNTIFS(Grunnspill!$A:$A,Annex!G35)</f>
        <v>0</v>
      </c>
      <c r="Q35">
        <f>COUNTIFS(Grunnspill!$A:$A,Annex!H35)</f>
        <v>0</v>
      </c>
      <c r="R35">
        <f>COUNTIFS(Grunnspill!$A:$A,Annex!I35)</f>
        <v>0</v>
      </c>
    </row>
    <row r="36" spans="1:18" x14ac:dyDescent="0.2">
      <c r="A36">
        <v>33</v>
      </c>
      <c r="B36" s="1" t="s">
        <v>111</v>
      </c>
      <c r="C36" s="1" t="s">
        <v>102</v>
      </c>
      <c r="D36" s="1" t="s">
        <v>104</v>
      </c>
      <c r="E36" s="1" t="s">
        <v>110</v>
      </c>
      <c r="F36" s="1" t="s">
        <v>106</v>
      </c>
      <c r="G36" s="1" t="s">
        <v>105</v>
      </c>
      <c r="H36" s="1" t="s">
        <v>108</v>
      </c>
      <c r="I36" s="1" t="s">
        <v>109</v>
      </c>
      <c r="J36">
        <f t="shared" si="3"/>
        <v>0</v>
      </c>
      <c r="K36">
        <f>COUNTIFS(Grunnspill!$A:$A,Annex!B36)</f>
        <v>0</v>
      </c>
      <c r="L36">
        <f>COUNTIFS(Grunnspill!$A:$A,Annex!C36)</f>
        <v>0</v>
      </c>
      <c r="M36">
        <f>COUNTIFS(Grunnspill!$A:$A,Annex!D36)</f>
        <v>0</v>
      </c>
      <c r="N36">
        <f>COUNTIFS(Grunnspill!$A:$A,Annex!E36)</f>
        <v>0</v>
      </c>
      <c r="O36">
        <f>COUNTIFS(Grunnspill!$A:$A,Annex!F36)</f>
        <v>0</v>
      </c>
      <c r="P36">
        <f>COUNTIFS(Grunnspill!$A:$A,Annex!G36)</f>
        <v>0</v>
      </c>
      <c r="Q36">
        <f>COUNTIFS(Grunnspill!$A:$A,Annex!H36)</f>
        <v>0</v>
      </c>
      <c r="R36">
        <f>COUNTIFS(Grunnspill!$A:$A,Annex!I36)</f>
        <v>0</v>
      </c>
    </row>
    <row r="37" spans="1:18" x14ac:dyDescent="0.2">
      <c r="A37">
        <v>34</v>
      </c>
      <c r="B37" s="1" t="s">
        <v>111</v>
      </c>
      <c r="C37" s="1" t="s">
        <v>103</v>
      </c>
      <c r="D37" s="1" t="s">
        <v>102</v>
      </c>
      <c r="E37" s="1" t="s">
        <v>110</v>
      </c>
      <c r="F37" s="1" t="s">
        <v>106</v>
      </c>
      <c r="G37" s="1" t="s">
        <v>105</v>
      </c>
      <c r="H37" s="1" t="s">
        <v>108</v>
      </c>
      <c r="I37" s="1" t="s">
        <v>104</v>
      </c>
      <c r="J37">
        <f t="shared" si="3"/>
        <v>0</v>
      </c>
      <c r="K37">
        <f>COUNTIFS(Grunnspill!$A:$A,Annex!B37)</f>
        <v>0</v>
      </c>
      <c r="L37">
        <f>COUNTIFS(Grunnspill!$A:$A,Annex!C37)</f>
        <v>0</v>
      </c>
      <c r="M37">
        <f>COUNTIFS(Grunnspill!$A:$A,Annex!D37)</f>
        <v>0</v>
      </c>
      <c r="N37">
        <f>COUNTIFS(Grunnspill!$A:$A,Annex!E37)</f>
        <v>0</v>
      </c>
      <c r="O37">
        <f>COUNTIFS(Grunnspill!$A:$A,Annex!F37)</f>
        <v>0</v>
      </c>
      <c r="P37">
        <f>COUNTIFS(Grunnspill!$A:$A,Annex!G37)</f>
        <v>0</v>
      </c>
      <c r="Q37">
        <f>COUNTIFS(Grunnspill!$A:$A,Annex!H37)</f>
        <v>0</v>
      </c>
      <c r="R37">
        <f>COUNTIFS(Grunnspill!$A:$A,Annex!I37)</f>
        <v>0</v>
      </c>
    </row>
    <row r="38" spans="1:18" x14ac:dyDescent="0.2">
      <c r="A38">
        <v>35</v>
      </c>
      <c r="B38" s="1" t="s">
        <v>111</v>
      </c>
      <c r="C38" s="1" t="s">
        <v>103</v>
      </c>
      <c r="D38" s="1" t="s">
        <v>102</v>
      </c>
      <c r="E38" s="1" t="s">
        <v>110</v>
      </c>
      <c r="F38" s="1" t="s">
        <v>106</v>
      </c>
      <c r="G38" s="1" t="s">
        <v>105</v>
      </c>
      <c r="H38" s="1" t="s">
        <v>104</v>
      </c>
      <c r="I38" s="1" t="s">
        <v>109</v>
      </c>
      <c r="J38">
        <f t="shared" si="3"/>
        <v>0</v>
      </c>
      <c r="K38">
        <f>COUNTIFS(Grunnspill!$A:$A,Annex!B38)</f>
        <v>0</v>
      </c>
      <c r="L38">
        <f>COUNTIFS(Grunnspill!$A:$A,Annex!C38)</f>
        <v>0</v>
      </c>
      <c r="M38">
        <f>COUNTIFS(Grunnspill!$A:$A,Annex!D38)</f>
        <v>0</v>
      </c>
      <c r="N38">
        <f>COUNTIFS(Grunnspill!$A:$A,Annex!E38)</f>
        <v>0</v>
      </c>
      <c r="O38">
        <f>COUNTIFS(Grunnspill!$A:$A,Annex!F38)</f>
        <v>0</v>
      </c>
      <c r="P38">
        <f>COUNTIFS(Grunnspill!$A:$A,Annex!G38)</f>
        <v>0</v>
      </c>
      <c r="Q38">
        <f>COUNTIFS(Grunnspill!$A:$A,Annex!H38)</f>
        <v>0</v>
      </c>
      <c r="R38">
        <f>COUNTIFS(Grunnspill!$A:$A,Annex!I38)</f>
        <v>0</v>
      </c>
    </row>
    <row r="39" spans="1:18" x14ac:dyDescent="0.2">
      <c r="A39">
        <v>36</v>
      </c>
      <c r="B39" s="1" t="s">
        <v>111</v>
      </c>
      <c r="C39" s="1" t="s">
        <v>107</v>
      </c>
      <c r="D39" s="1" t="s">
        <v>102</v>
      </c>
      <c r="E39" s="1" t="s">
        <v>110</v>
      </c>
      <c r="F39" s="1" t="s">
        <v>103</v>
      </c>
      <c r="G39" s="1" t="s">
        <v>105</v>
      </c>
      <c r="H39" s="1" t="s">
        <v>108</v>
      </c>
      <c r="I39" s="1" t="s">
        <v>109</v>
      </c>
      <c r="J39">
        <f t="shared" si="3"/>
        <v>0</v>
      </c>
      <c r="K39">
        <f>COUNTIFS(Grunnspill!$A:$A,Annex!B39)</f>
        <v>0</v>
      </c>
      <c r="L39">
        <f>COUNTIFS(Grunnspill!$A:$A,Annex!C39)</f>
        <v>0</v>
      </c>
      <c r="M39">
        <f>COUNTIFS(Grunnspill!$A:$A,Annex!D39)</f>
        <v>0</v>
      </c>
      <c r="N39">
        <f>COUNTIFS(Grunnspill!$A:$A,Annex!E39)</f>
        <v>0</v>
      </c>
      <c r="O39">
        <f>COUNTIFS(Grunnspill!$A:$A,Annex!F39)</f>
        <v>0</v>
      </c>
      <c r="P39">
        <f>COUNTIFS(Grunnspill!$A:$A,Annex!G39)</f>
        <v>0</v>
      </c>
      <c r="Q39">
        <f>COUNTIFS(Grunnspill!$A:$A,Annex!H39)</f>
        <v>0</v>
      </c>
      <c r="R39">
        <f>COUNTIFS(Grunnspill!$A:$A,Annex!I39)</f>
        <v>0</v>
      </c>
    </row>
    <row r="40" spans="1:18" x14ac:dyDescent="0.2">
      <c r="A40">
        <v>37</v>
      </c>
      <c r="B40" s="1" t="s">
        <v>111</v>
      </c>
      <c r="C40" s="1" t="s">
        <v>107</v>
      </c>
      <c r="D40" s="1" t="s">
        <v>102</v>
      </c>
      <c r="E40" s="1" t="s">
        <v>110</v>
      </c>
      <c r="F40" s="1" t="s">
        <v>104</v>
      </c>
      <c r="G40" s="1" t="s">
        <v>105</v>
      </c>
      <c r="H40" s="1" t="s">
        <v>108</v>
      </c>
      <c r="I40" s="1" t="s">
        <v>109</v>
      </c>
      <c r="J40">
        <f t="shared" si="3"/>
        <v>0</v>
      </c>
      <c r="K40">
        <f>COUNTIFS(Grunnspill!$A:$A,Annex!B40)</f>
        <v>0</v>
      </c>
      <c r="L40">
        <f>COUNTIFS(Grunnspill!$A:$A,Annex!C40)</f>
        <v>0</v>
      </c>
      <c r="M40">
        <f>COUNTIFS(Grunnspill!$A:$A,Annex!D40)</f>
        <v>0</v>
      </c>
      <c r="N40">
        <f>COUNTIFS(Grunnspill!$A:$A,Annex!E40)</f>
        <v>0</v>
      </c>
      <c r="O40">
        <f>COUNTIFS(Grunnspill!$A:$A,Annex!F40)</f>
        <v>0</v>
      </c>
      <c r="P40">
        <f>COUNTIFS(Grunnspill!$A:$A,Annex!G40)</f>
        <v>0</v>
      </c>
      <c r="Q40">
        <f>COUNTIFS(Grunnspill!$A:$A,Annex!H40)</f>
        <v>0</v>
      </c>
      <c r="R40">
        <f>COUNTIFS(Grunnspill!$A:$A,Annex!I40)</f>
        <v>0</v>
      </c>
    </row>
    <row r="41" spans="1:18" x14ac:dyDescent="0.2">
      <c r="A41">
        <v>38</v>
      </c>
      <c r="B41" s="1" t="s">
        <v>111</v>
      </c>
      <c r="C41" s="1" t="s">
        <v>107</v>
      </c>
      <c r="D41" s="1" t="s">
        <v>102</v>
      </c>
      <c r="E41" s="1" t="s">
        <v>110</v>
      </c>
      <c r="F41" s="1" t="s">
        <v>103</v>
      </c>
      <c r="G41" s="1" t="s">
        <v>105</v>
      </c>
      <c r="H41" s="1" t="s">
        <v>108</v>
      </c>
      <c r="I41" s="1" t="s">
        <v>104</v>
      </c>
      <c r="J41">
        <f t="shared" si="3"/>
        <v>0</v>
      </c>
      <c r="K41">
        <f>COUNTIFS(Grunnspill!$A:$A,Annex!B41)</f>
        <v>0</v>
      </c>
      <c r="L41">
        <f>COUNTIFS(Grunnspill!$A:$A,Annex!C41)</f>
        <v>0</v>
      </c>
      <c r="M41">
        <f>COUNTIFS(Grunnspill!$A:$A,Annex!D41)</f>
        <v>0</v>
      </c>
      <c r="N41">
        <f>COUNTIFS(Grunnspill!$A:$A,Annex!E41)</f>
        <v>0</v>
      </c>
      <c r="O41">
        <f>COUNTIFS(Grunnspill!$A:$A,Annex!F41)</f>
        <v>0</v>
      </c>
      <c r="P41">
        <f>COUNTIFS(Grunnspill!$A:$A,Annex!G41)</f>
        <v>0</v>
      </c>
      <c r="Q41">
        <f>COUNTIFS(Grunnspill!$A:$A,Annex!H41)</f>
        <v>0</v>
      </c>
      <c r="R41">
        <f>COUNTIFS(Grunnspill!$A:$A,Annex!I41)</f>
        <v>0</v>
      </c>
    </row>
    <row r="42" spans="1:18" x14ac:dyDescent="0.2">
      <c r="A42">
        <v>39</v>
      </c>
      <c r="B42" s="1" t="s">
        <v>111</v>
      </c>
      <c r="C42" s="1" t="s">
        <v>107</v>
      </c>
      <c r="D42" s="1" t="s">
        <v>102</v>
      </c>
      <c r="E42" s="1" t="s">
        <v>110</v>
      </c>
      <c r="F42" s="1" t="s">
        <v>103</v>
      </c>
      <c r="G42" s="1" t="s">
        <v>105</v>
      </c>
      <c r="H42" s="1" t="s">
        <v>104</v>
      </c>
      <c r="I42" s="1" t="s">
        <v>109</v>
      </c>
      <c r="J42">
        <f t="shared" si="3"/>
        <v>0</v>
      </c>
      <c r="K42">
        <f>COUNTIFS(Grunnspill!$A:$A,Annex!B42)</f>
        <v>0</v>
      </c>
      <c r="L42">
        <f>COUNTIFS(Grunnspill!$A:$A,Annex!C42)</f>
        <v>0</v>
      </c>
      <c r="M42">
        <f>COUNTIFS(Grunnspill!$A:$A,Annex!D42)</f>
        <v>0</v>
      </c>
      <c r="N42">
        <f>COUNTIFS(Grunnspill!$A:$A,Annex!E42)</f>
        <v>0</v>
      </c>
      <c r="O42">
        <f>COUNTIFS(Grunnspill!$A:$A,Annex!F42)</f>
        <v>0</v>
      </c>
      <c r="P42">
        <f>COUNTIFS(Grunnspill!$A:$A,Annex!G42)</f>
        <v>0</v>
      </c>
      <c r="Q42">
        <f>COUNTIFS(Grunnspill!$A:$A,Annex!H42)</f>
        <v>0</v>
      </c>
      <c r="R42">
        <f>COUNTIFS(Grunnspill!$A:$A,Annex!I42)</f>
        <v>0</v>
      </c>
    </row>
    <row r="43" spans="1:18" x14ac:dyDescent="0.2">
      <c r="A43">
        <v>40</v>
      </c>
      <c r="B43" s="1" t="s">
        <v>111</v>
      </c>
      <c r="C43" s="1" t="s">
        <v>107</v>
      </c>
      <c r="D43" s="1" t="s">
        <v>102</v>
      </c>
      <c r="E43" s="1" t="s">
        <v>110</v>
      </c>
      <c r="F43" s="1" t="s">
        <v>106</v>
      </c>
      <c r="G43" s="1" t="s">
        <v>105</v>
      </c>
      <c r="H43" s="1" t="s">
        <v>108</v>
      </c>
      <c r="I43" s="1" t="s">
        <v>109</v>
      </c>
      <c r="J43">
        <f t="shared" si="3"/>
        <v>0</v>
      </c>
      <c r="K43">
        <f>COUNTIFS(Grunnspill!$A:$A,Annex!B43)</f>
        <v>0</v>
      </c>
      <c r="L43">
        <f>COUNTIFS(Grunnspill!$A:$A,Annex!C43)</f>
        <v>0</v>
      </c>
      <c r="M43">
        <f>COUNTIFS(Grunnspill!$A:$A,Annex!D43)</f>
        <v>0</v>
      </c>
      <c r="N43">
        <f>COUNTIFS(Grunnspill!$A:$A,Annex!E43)</f>
        <v>0</v>
      </c>
      <c r="O43">
        <f>COUNTIFS(Grunnspill!$A:$A,Annex!F43)</f>
        <v>0</v>
      </c>
      <c r="P43">
        <f>COUNTIFS(Grunnspill!$A:$A,Annex!G43)</f>
        <v>0</v>
      </c>
      <c r="Q43">
        <f>COUNTIFS(Grunnspill!$A:$A,Annex!H43)</f>
        <v>0</v>
      </c>
      <c r="R43">
        <f>COUNTIFS(Grunnspill!$A:$A,Annex!I43)</f>
        <v>0</v>
      </c>
    </row>
    <row r="44" spans="1:18" x14ac:dyDescent="0.2">
      <c r="A44">
        <v>41</v>
      </c>
      <c r="B44" s="1" t="s">
        <v>111</v>
      </c>
      <c r="C44" s="1" t="s">
        <v>107</v>
      </c>
      <c r="D44" s="1" t="s">
        <v>103</v>
      </c>
      <c r="E44" s="1" t="s">
        <v>110</v>
      </c>
      <c r="F44" s="1" t="s">
        <v>106</v>
      </c>
      <c r="G44" s="1" t="s">
        <v>105</v>
      </c>
      <c r="H44" s="1" t="s">
        <v>108</v>
      </c>
      <c r="I44" s="1" t="s">
        <v>102</v>
      </c>
      <c r="J44">
        <f t="shared" si="3"/>
        <v>0</v>
      </c>
      <c r="K44">
        <f>COUNTIFS(Grunnspill!$A:$A,Annex!B44)</f>
        <v>0</v>
      </c>
      <c r="L44">
        <f>COUNTIFS(Grunnspill!$A:$A,Annex!C44)</f>
        <v>0</v>
      </c>
      <c r="M44">
        <f>COUNTIFS(Grunnspill!$A:$A,Annex!D44)</f>
        <v>0</v>
      </c>
      <c r="N44">
        <f>COUNTIFS(Grunnspill!$A:$A,Annex!E44)</f>
        <v>0</v>
      </c>
      <c r="O44">
        <f>COUNTIFS(Grunnspill!$A:$A,Annex!F44)</f>
        <v>0</v>
      </c>
      <c r="P44">
        <f>COUNTIFS(Grunnspill!$A:$A,Annex!G44)</f>
        <v>0</v>
      </c>
      <c r="Q44">
        <f>COUNTIFS(Grunnspill!$A:$A,Annex!H44)</f>
        <v>0</v>
      </c>
      <c r="R44">
        <f>COUNTIFS(Grunnspill!$A:$A,Annex!I44)</f>
        <v>0</v>
      </c>
    </row>
    <row r="45" spans="1:18" x14ac:dyDescent="0.2">
      <c r="A45">
        <v>42</v>
      </c>
      <c r="B45" s="1" t="s">
        <v>111</v>
      </c>
      <c r="C45" s="1" t="s">
        <v>107</v>
      </c>
      <c r="D45" s="1" t="s">
        <v>103</v>
      </c>
      <c r="E45" s="1" t="s">
        <v>110</v>
      </c>
      <c r="F45" s="1" t="s">
        <v>106</v>
      </c>
      <c r="G45" s="1" t="s">
        <v>105</v>
      </c>
      <c r="H45" s="1" t="s">
        <v>102</v>
      </c>
      <c r="I45" s="1" t="s">
        <v>109</v>
      </c>
      <c r="J45">
        <f t="shared" si="3"/>
        <v>0</v>
      </c>
      <c r="K45">
        <f>COUNTIFS(Grunnspill!$A:$A,Annex!B45)</f>
        <v>0</v>
      </c>
      <c r="L45">
        <f>COUNTIFS(Grunnspill!$A:$A,Annex!C45)</f>
        <v>0</v>
      </c>
      <c r="M45">
        <f>COUNTIFS(Grunnspill!$A:$A,Annex!D45)</f>
        <v>0</v>
      </c>
      <c r="N45">
        <f>COUNTIFS(Grunnspill!$A:$A,Annex!E45)</f>
        <v>0</v>
      </c>
      <c r="O45">
        <f>COUNTIFS(Grunnspill!$A:$A,Annex!F45)</f>
        <v>0</v>
      </c>
      <c r="P45">
        <f>COUNTIFS(Grunnspill!$A:$A,Annex!G45)</f>
        <v>0</v>
      </c>
      <c r="Q45">
        <f>COUNTIFS(Grunnspill!$A:$A,Annex!H45)</f>
        <v>0</v>
      </c>
      <c r="R45">
        <f>COUNTIFS(Grunnspill!$A:$A,Annex!I45)</f>
        <v>0</v>
      </c>
    </row>
    <row r="46" spans="1:18" x14ac:dyDescent="0.2">
      <c r="A46">
        <v>43</v>
      </c>
      <c r="B46" s="1" t="s">
        <v>111</v>
      </c>
      <c r="C46" s="1" t="s">
        <v>107</v>
      </c>
      <c r="D46" s="1" t="s">
        <v>102</v>
      </c>
      <c r="E46" s="1" t="s">
        <v>110</v>
      </c>
      <c r="F46" s="1" t="s">
        <v>106</v>
      </c>
      <c r="G46" s="1" t="s">
        <v>105</v>
      </c>
      <c r="H46" s="1" t="s">
        <v>108</v>
      </c>
      <c r="I46" s="1" t="s">
        <v>104</v>
      </c>
      <c r="J46">
        <f t="shared" si="3"/>
        <v>0</v>
      </c>
      <c r="K46">
        <f>COUNTIFS(Grunnspill!$A:$A,Annex!B46)</f>
        <v>0</v>
      </c>
      <c r="L46">
        <f>COUNTIFS(Grunnspill!$A:$A,Annex!C46)</f>
        <v>0</v>
      </c>
      <c r="M46">
        <f>COUNTIFS(Grunnspill!$A:$A,Annex!D46)</f>
        <v>0</v>
      </c>
      <c r="N46">
        <f>COUNTIFS(Grunnspill!$A:$A,Annex!E46)</f>
        <v>0</v>
      </c>
      <c r="O46">
        <f>COUNTIFS(Grunnspill!$A:$A,Annex!F46)</f>
        <v>0</v>
      </c>
      <c r="P46">
        <f>COUNTIFS(Grunnspill!$A:$A,Annex!G46)</f>
        <v>0</v>
      </c>
      <c r="Q46">
        <f>COUNTIFS(Grunnspill!$A:$A,Annex!H46)</f>
        <v>0</v>
      </c>
      <c r="R46">
        <f>COUNTIFS(Grunnspill!$A:$A,Annex!I46)</f>
        <v>0</v>
      </c>
    </row>
    <row r="47" spans="1:18" x14ac:dyDescent="0.2">
      <c r="A47">
        <v>44</v>
      </c>
      <c r="B47" s="1" t="s">
        <v>111</v>
      </c>
      <c r="C47" s="1" t="s">
        <v>107</v>
      </c>
      <c r="D47" s="1" t="s">
        <v>102</v>
      </c>
      <c r="E47" s="1" t="s">
        <v>110</v>
      </c>
      <c r="F47" s="1" t="s">
        <v>106</v>
      </c>
      <c r="G47" s="1" t="s">
        <v>105</v>
      </c>
      <c r="H47" s="1" t="s">
        <v>104</v>
      </c>
      <c r="I47" s="1" t="s">
        <v>109</v>
      </c>
      <c r="J47">
        <f t="shared" si="3"/>
        <v>0</v>
      </c>
      <c r="K47">
        <f>COUNTIFS(Grunnspill!$A:$A,Annex!B47)</f>
        <v>0</v>
      </c>
      <c r="L47">
        <f>COUNTIFS(Grunnspill!$A:$A,Annex!C47)</f>
        <v>0</v>
      </c>
      <c r="M47">
        <f>COUNTIFS(Grunnspill!$A:$A,Annex!D47)</f>
        <v>0</v>
      </c>
      <c r="N47">
        <f>COUNTIFS(Grunnspill!$A:$A,Annex!E47)</f>
        <v>0</v>
      </c>
      <c r="O47">
        <f>COUNTIFS(Grunnspill!$A:$A,Annex!F47)</f>
        <v>0</v>
      </c>
      <c r="P47">
        <f>COUNTIFS(Grunnspill!$A:$A,Annex!G47)</f>
        <v>0</v>
      </c>
      <c r="Q47">
        <f>COUNTIFS(Grunnspill!$A:$A,Annex!H47)</f>
        <v>0</v>
      </c>
      <c r="R47">
        <f>COUNTIFS(Grunnspill!$A:$A,Annex!I47)</f>
        <v>0</v>
      </c>
    </row>
    <row r="48" spans="1:18" x14ac:dyDescent="0.2">
      <c r="A48">
        <v>45</v>
      </c>
      <c r="B48" s="1" t="s">
        <v>111</v>
      </c>
      <c r="C48" s="1" t="s">
        <v>107</v>
      </c>
      <c r="D48" s="1" t="s">
        <v>103</v>
      </c>
      <c r="E48" s="1" t="s">
        <v>110</v>
      </c>
      <c r="F48" s="1" t="s">
        <v>106</v>
      </c>
      <c r="G48" s="1" t="s">
        <v>105</v>
      </c>
      <c r="H48" s="1" t="s">
        <v>102</v>
      </c>
      <c r="I48" s="1" t="s">
        <v>104</v>
      </c>
      <c r="J48">
        <f t="shared" si="3"/>
        <v>0</v>
      </c>
      <c r="K48">
        <f>COUNTIFS(Grunnspill!$A:$A,Annex!B48)</f>
        <v>0</v>
      </c>
      <c r="L48">
        <f>COUNTIFS(Grunnspill!$A:$A,Annex!C48)</f>
        <v>0</v>
      </c>
      <c r="M48">
        <f>COUNTIFS(Grunnspill!$A:$A,Annex!D48)</f>
        <v>0</v>
      </c>
      <c r="N48">
        <f>COUNTIFS(Grunnspill!$A:$A,Annex!E48)</f>
        <v>0</v>
      </c>
      <c r="O48">
        <f>COUNTIFS(Grunnspill!$A:$A,Annex!F48)</f>
        <v>0</v>
      </c>
      <c r="P48">
        <f>COUNTIFS(Grunnspill!$A:$A,Annex!G48)</f>
        <v>0</v>
      </c>
      <c r="Q48">
        <f>COUNTIFS(Grunnspill!$A:$A,Annex!H48)</f>
        <v>0</v>
      </c>
      <c r="R48">
        <f>COUNTIFS(Grunnspill!$A:$A,Annex!I48)</f>
        <v>0</v>
      </c>
    </row>
    <row r="49" spans="1:18" x14ac:dyDescent="0.2">
      <c r="A49">
        <v>46</v>
      </c>
      <c r="B49" s="1" t="s">
        <v>106</v>
      </c>
      <c r="C49" s="1" t="s">
        <v>103</v>
      </c>
      <c r="D49" s="1" t="s">
        <v>112</v>
      </c>
      <c r="E49" s="1" t="s">
        <v>105</v>
      </c>
      <c r="F49" s="1" t="s">
        <v>104</v>
      </c>
      <c r="G49" s="1" t="s">
        <v>107</v>
      </c>
      <c r="H49" s="1" t="s">
        <v>108</v>
      </c>
      <c r="I49" s="1" t="s">
        <v>109</v>
      </c>
      <c r="J49">
        <f t="shared" si="3"/>
        <v>0</v>
      </c>
      <c r="K49">
        <f>COUNTIFS(Grunnspill!$A:$A,Annex!B49)</f>
        <v>0</v>
      </c>
      <c r="L49">
        <f>COUNTIFS(Grunnspill!$A:$A,Annex!C49)</f>
        <v>0</v>
      </c>
      <c r="M49">
        <f>COUNTIFS(Grunnspill!$A:$A,Annex!D49)</f>
        <v>0</v>
      </c>
      <c r="N49">
        <f>COUNTIFS(Grunnspill!$A:$A,Annex!E49)</f>
        <v>0</v>
      </c>
      <c r="O49">
        <f>COUNTIFS(Grunnspill!$A:$A,Annex!F49)</f>
        <v>0</v>
      </c>
      <c r="P49">
        <f>COUNTIFS(Grunnspill!$A:$A,Annex!G49)</f>
        <v>0</v>
      </c>
      <c r="Q49">
        <f>COUNTIFS(Grunnspill!$A:$A,Annex!H49)</f>
        <v>0</v>
      </c>
      <c r="R49">
        <f>COUNTIFS(Grunnspill!$A:$A,Annex!I49)</f>
        <v>0</v>
      </c>
    </row>
    <row r="50" spans="1:18" x14ac:dyDescent="0.2">
      <c r="A50">
        <v>47</v>
      </c>
      <c r="B50" s="1" t="s">
        <v>102</v>
      </c>
      <c r="C50" s="1" t="s">
        <v>103</v>
      </c>
      <c r="D50" s="1" t="s">
        <v>104</v>
      </c>
      <c r="E50" s="1" t="s">
        <v>112</v>
      </c>
      <c r="F50" s="1" t="s">
        <v>106</v>
      </c>
      <c r="G50" s="1" t="s">
        <v>107</v>
      </c>
      <c r="H50" s="1" t="s">
        <v>108</v>
      </c>
      <c r="I50" s="1" t="s">
        <v>109</v>
      </c>
      <c r="J50">
        <f t="shared" si="3"/>
        <v>0</v>
      </c>
      <c r="K50">
        <f>COUNTIFS(Grunnspill!$A:$A,Annex!B50)</f>
        <v>0</v>
      </c>
      <c r="L50">
        <f>COUNTIFS(Grunnspill!$A:$A,Annex!C50)</f>
        <v>0</v>
      </c>
      <c r="M50">
        <f>COUNTIFS(Grunnspill!$A:$A,Annex!D50)</f>
        <v>0</v>
      </c>
      <c r="N50">
        <f>COUNTIFS(Grunnspill!$A:$A,Annex!E50)</f>
        <v>0</v>
      </c>
      <c r="O50">
        <f>COUNTIFS(Grunnspill!$A:$A,Annex!F50)</f>
        <v>0</v>
      </c>
      <c r="P50">
        <f>COUNTIFS(Grunnspill!$A:$A,Annex!G50)</f>
        <v>0</v>
      </c>
      <c r="Q50">
        <f>COUNTIFS(Grunnspill!$A:$A,Annex!H50)</f>
        <v>0</v>
      </c>
      <c r="R50">
        <f>COUNTIFS(Grunnspill!$A:$A,Annex!I50)</f>
        <v>0</v>
      </c>
    </row>
    <row r="51" spans="1:18" x14ac:dyDescent="0.2">
      <c r="A51">
        <v>48</v>
      </c>
      <c r="B51" s="1" t="s">
        <v>102</v>
      </c>
      <c r="C51" s="1" t="s">
        <v>103</v>
      </c>
      <c r="D51" s="1" t="s">
        <v>112</v>
      </c>
      <c r="E51" s="1" t="s">
        <v>105</v>
      </c>
      <c r="F51" s="1" t="s">
        <v>104</v>
      </c>
      <c r="G51" s="1" t="s">
        <v>106</v>
      </c>
      <c r="H51" s="1" t="s">
        <v>108</v>
      </c>
      <c r="I51" s="1" t="s">
        <v>109</v>
      </c>
      <c r="J51">
        <f t="shared" si="3"/>
        <v>0</v>
      </c>
      <c r="K51">
        <f>COUNTIFS(Grunnspill!$A:$A,Annex!B51)</f>
        <v>0</v>
      </c>
      <c r="L51">
        <f>COUNTIFS(Grunnspill!$A:$A,Annex!C51)</f>
        <v>0</v>
      </c>
      <c r="M51">
        <f>COUNTIFS(Grunnspill!$A:$A,Annex!D51)</f>
        <v>0</v>
      </c>
      <c r="N51">
        <f>COUNTIFS(Grunnspill!$A:$A,Annex!E51)</f>
        <v>0</v>
      </c>
      <c r="O51">
        <f>COUNTIFS(Grunnspill!$A:$A,Annex!F51)</f>
        <v>0</v>
      </c>
      <c r="P51">
        <f>COUNTIFS(Grunnspill!$A:$A,Annex!G51)</f>
        <v>0</v>
      </c>
      <c r="Q51">
        <f>COUNTIFS(Grunnspill!$A:$A,Annex!H51)</f>
        <v>0</v>
      </c>
      <c r="R51">
        <f>COUNTIFS(Grunnspill!$A:$A,Annex!I51)</f>
        <v>0</v>
      </c>
    </row>
    <row r="52" spans="1:18" x14ac:dyDescent="0.2">
      <c r="A52">
        <v>49</v>
      </c>
      <c r="B52" s="1" t="s">
        <v>102</v>
      </c>
      <c r="C52" s="1" t="s">
        <v>103</v>
      </c>
      <c r="D52" s="1" t="s">
        <v>112</v>
      </c>
      <c r="E52" s="1" t="s">
        <v>105</v>
      </c>
      <c r="F52" s="1" t="s">
        <v>104</v>
      </c>
      <c r="G52" s="1" t="s">
        <v>107</v>
      </c>
      <c r="H52" s="1" t="s">
        <v>108</v>
      </c>
      <c r="I52" s="1" t="s">
        <v>109</v>
      </c>
      <c r="J52">
        <f t="shared" si="3"/>
        <v>0</v>
      </c>
      <c r="K52">
        <f>COUNTIFS(Grunnspill!$A:$A,Annex!B52)</f>
        <v>0</v>
      </c>
      <c r="L52">
        <f>COUNTIFS(Grunnspill!$A:$A,Annex!C52)</f>
        <v>0</v>
      </c>
      <c r="M52">
        <f>COUNTIFS(Grunnspill!$A:$A,Annex!D52)</f>
        <v>0</v>
      </c>
      <c r="N52">
        <f>COUNTIFS(Grunnspill!$A:$A,Annex!E52)</f>
        <v>0</v>
      </c>
      <c r="O52">
        <f>COUNTIFS(Grunnspill!$A:$A,Annex!F52)</f>
        <v>0</v>
      </c>
      <c r="P52">
        <f>COUNTIFS(Grunnspill!$A:$A,Annex!G52)</f>
        <v>0</v>
      </c>
      <c r="Q52">
        <f>COUNTIFS(Grunnspill!$A:$A,Annex!H52)</f>
        <v>0</v>
      </c>
      <c r="R52">
        <f>COUNTIFS(Grunnspill!$A:$A,Annex!I52)</f>
        <v>0</v>
      </c>
    </row>
    <row r="53" spans="1:18" x14ac:dyDescent="0.2">
      <c r="A53">
        <v>50</v>
      </c>
      <c r="B53" s="1" t="s">
        <v>102</v>
      </c>
      <c r="C53" s="1" t="s">
        <v>103</v>
      </c>
      <c r="D53" s="1" t="s">
        <v>112</v>
      </c>
      <c r="E53" s="1" t="s">
        <v>105</v>
      </c>
      <c r="F53" s="1" t="s">
        <v>106</v>
      </c>
      <c r="G53" s="1" t="s">
        <v>107</v>
      </c>
      <c r="H53" s="1" t="s">
        <v>108</v>
      </c>
      <c r="I53" s="1" t="s">
        <v>109</v>
      </c>
      <c r="J53">
        <f t="shared" si="3"/>
        <v>0</v>
      </c>
      <c r="K53">
        <f>COUNTIFS(Grunnspill!$A:$A,Annex!B53)</f>
        <v>0</v>
      </c>
      <c r="L53">
        <f>COUNTIFS(Grunnspill!$A:$A,Annex!C53)</f>
        <v>0</v>
      </c>
      <c r="M53">
        <f>COUNTIFS(Grunnspill!$A:$A,Annex!D53)</f>
        <v>0</v>
      </c>
      <c r="N53">
        <f>COUNTIFS(Grunnspill!$A:$A,Annex!E53)</f>
        <v>0</v>
      </c>
      <c r="O53">
        <f>COUNTIFS(Grunnspill!$A:$A,Annex!F53)</f>
        <v>0</v>
      </c>
      <c r="P53">
        <f>COUNTIFS(Grunnspill!$A:$A,Annex!G53)</f>
        <v>0</v>
      </c>
      <c r="Q53">
        <f>COUNTIFS(Grunnspill!$A:$A,Annex!H53)</f>
        <v>0</v>
      </c>
      <c r="R53">
        <f>COUNTIFS(Grunnspill!$A:$A,Annex!I53)</f>
        <v>0</v>
      </c>
    </row>
    <row r="54" spans="1:18" x14ac:dyDescent="0.2">
      <c r="A54">
        <v>51</v>
      </c>
      <c r="B54" s="1" t="s">
        <v>102</v>
      </c>
      <c r="C54" s="1" t="s">
        <v>107</v>
      </c>
      <c r="D54" s="1" t="s">
        <v>112</v>
      </c>
      <c r="E54" s="1" t="s">
        <v>105</v>
      </c>
      <c r="F54" s="1" t="s">
        <v>104</v>
      </c>
      <c r="G54" s="1" t="s">
        <v>106</v>
      </c>
      <c r="H54" s="1" t="s">
        <v>108</v>
      </c>
      <c r="I54" s="1" t="s">
        <v>109</v>
      </c>
      <c r="J54">
        <f t="shared" si="3"/>
        <v>0</v>
      </c>
      <c r="K54">
        <f>COUNTIFS(Grunnspill!$A:$A,Annex!B54)</f>
        <v>0</v>
      </c>
      <c r="L54">
        <f>COUNTIFS(Grunnspill!$A:$A,Annex!C54)</f>
        <v>0</v>
      </c>
      <c r="M54">
        <f>COUNTIFS(Grunnspill!$A:$A,Annex!D54)</f>
        <v>0</v>
      </c>
      <c r="N54">
        <f>COUNTIFS(Grunnspill!$A:$A,Annex!E54)</f>
        <v>0</v>
      </c>
      <c r="O54">
        <f>COUNTIFS(Grunnspill!$A:$A,Annex!F54)</f>
        <v>0</v>
      </c>
      <c r="P54">
        <f>COUNTIFS(Grunnspill!$A:$A,Annex!G54)</f>
        <v>0</v>
      </c>
      <c r="Q54">
        <f>COUNTIFS(Grunnspill!$A:$A,Annex!H54)</f>
        <v>0</v>
      </c>
      <c r="R54">
        <f>COUNTIFS(Grunnspill!$A:$A,Annex!I54)</f>
        <v>0</v>
      </c>
    </row>
    <row r="55" spans="1:18" x14ac:dyDescent="0.2">
      <c r="A55">
        <v>52</v>
      </c>
      <c r="B55" s="1" t="s">
        <v>102</v>
      </c>
      <c r="C55" s="1" t="s">
        <v>103</v>
      </c>
      <c r="D55" s="1" t="s">
        <v>112</v>
      </c>
      <c r="E55" s="1" t="s">
        <v>105</v>
      </c>
      <c r="F55" s="1" t="s">
        <v>106</v>
      </c>
      <c r="G55" s="1" t="s">
        <v>107</v>
      </c>
      <c r="H55" s="1" t="s">
        <v>108</v>
      </c>
      <c r="I55" s="1" t="s">
        <v>104</v>
      </c>
      <c r="J55">
        <f t="shared" si="3"/>
        <v>0</v>
      </c>
      <c r="K55">
        <f>COUNTIFS(Grunnspill!$A:$A,Annex!B55)</f>
        <v>0</v>
      </c>
      <c r="L55">
        <f>COUNTIFS(Grunnspill!$A:$A,Annex!C55)</f>
        <v>0</v>
      </c>
      <c r="M55">
        <f>COUNTIFS(Grunnspill!$A:$A,Annex!D55)</f>
        <v>0</v>
      </c>
      <c r="N55">
        <f>COUNTIFS(Grunnspill!$A:$A,Annex!E55)</f>
        <v>0</v>
      </c>
      <c r="O55">
        <f>COUNTIFS(Grunnspill!$A:$A,Annex!F55)</f>
        <v>0</v>
      </c>
      <c r="P55">
        <f>COUNTIFS(Grunnspill!$A:$A,Annex!G55)</f>
        <v>0</v>
      </c>
      <c r="Q55">
        <f>COUNTIFS(Grunnspill!$A:$A,Annex!H55)</f>
        <v>0</v>
      </c>
      <c r="R55">
        <f>COUNTIFS(Grunnspill!$A:$A,Annex!I55)</f>
        <v>0</v>
      </c>
    </row>
    <row r="56" spans="1:18" x14ac:dyDescent="0.2">
      <c r="A56">
        <v>53</v>
      </c>
      <c r="B56" s="1" t="s">
        <v>102</v>
      </c>
      <c r="C56" s="1" t="s">
        <v>103</v>
      </c>
      <c r="D56" s="1" t="s">
        <v>112</v>
      </c>
      <c r="E56" s="1" t="s">
        <v>105</v>
      </c>
      <c r="F56" s="1" t="s">
        <v>106</v>
      </c>
      <c r="G56" s="1" t="s">
        <v>107</v>
      </c>
      <c r="H56" s="1" t="s">
        <v>104</v>
      </c>
      <c r="I56" s="1" t="s">
        <v>109</v>
      </c>
      <c r="J56">
        <f t="shared" si="3"/>
        <v>0</v>
      </c>
      <c r="K56">
        <f>COUNTIFS(Grunnspill!$A:$A,Annex!B56)</f>
        <v>0</v>
      </c>
      <c r="L56">
        <f>COUNTIFS(Grunnspill!$A:$A,Annex!C56)</f>
        <v>0</v>
      </c>
      <c r="M56">
        <f>COUNTIFS(Grunnspill!$A:$A,Annex!D56)</f>
        <v>0</v>
      </c>
      <c r="N56">
        <f>COUNTIFS(Grunnspill!$A:$A,Annex!E56)</f>
        <v>0</v>
      </c>
      <c r="O56">
        <f>COUNTIFS(Grunnspill!$A:$A,Annex!F56)</f>
        <v>0</v>
      </c>
      <c r="P56">
        <f>COUNTIFS(Grunnspill!$A:$A,Annex!G56)</f>
        <v>0</v>
      </c>
      <c r="Q56">
        <f>COUNTIFS(Grunnspill!$A:$A,Annex!H56)</f>
        <v>0</v>
      </c>
      <c r="R56">
        <f>COUNTIFS(Grunnspill!$A:$A,Annex!I56)</f>
        <v>0</v>
      </c>
    </row>
    <row r="57" spans="1:18" x14ac:dyDescent="0.2">
      <c r="A57">
        <v>54</v>
      </c>
      <c r="B57" s="1" t="s">
        <v>106</v>
      </c>
      <c r="C57" s="1" t="s">
        <v>103</v>
      </c>
      <c r="D57" s="1" t="s">
        <v>112</v>
      </c>
      <c r="E57" s="1" t="s">
        <v>110</v>
      </c>
      <c r="F57" s="1" t="s">
        <v>104</v>
      </c>
      <c r="G57" s="1" t="s">
        <v>107</v>
      </c>
      <c r="H57" s="1" t="s">
        <v>108</v>
      </c>
      <c r="I57" s="1" t="s">
        <v>109</v>
      </c>
      <c r="J57">
        <f t="shared" si="3"/>
        <v>0</v>
      </c>
      <c r="K57">
        <f>COUNTIFS(Grunnspill!$A:$A,Annex!B57)</f>
        <v>0</v>
      </c>
      <c r="L57">
        <f>COUNTIFS(Grunnspill!$A:$A,Annex!C57)</f>
        <v>0</v>
      </c>
      <c r="M57">
        <f>COUNTIFS(Grunnspill!$A:$A,Annex!D57)</f>
        <v>0</v>
      </c>
      <c r="N57">
        <f>COUNTIFS(Grunnspill!$A:$A,Annex!E57)</f>
        <v>0</v>
      </c>
      <c r="O57">
        <f>COUNTIFS(Grunnspill!$A:$A,Annex!F57)</f>
        <v>0</v>
      </c>
      <c r="P57">
        <f>COUNTIFS(Grunnspill!$A:$A,Annex!G57)</f>
        <v>0</v>
      </c>
      <c r="Q57">
        <f>COUNTIFS(Grunnspill!$A:$A,Annex!H57)</f>
        <v>0</v>
      </c>
      <c r="R57">
        <f>COUNTIFS(Grunnspill!$A:$A,Annex!I57)</f>
        <v>0</v>
      </c>
    </row>
    <row r="58" spans="1:18" x14ac:dyDescent="0.2">
      <c r="A58">
        <v>55</v>
      </c>
      <c r="B58" s="1" t="s">
        <v>106</v>
      </c>
      <c r="C58" s="1" t="s">
        <v>103</v>
      </c>
      <c r="D58" s="1" t="s">
        <v>112</v>
      </c>
      <c r="E58" s="1" t="s">
        <v>110</v>
      </c>
      <c r="F58" s="1" t="s">
        <v>104</v>
      </c>
      <c r="G58" s="1" t="s">
        <v>105</v>
      </c>
      <c r="H58" s="1" t="s">
        <v>108</v>
      </c>
      <c r="I58" s="1" t="s">
        <v>109</v>
      </c>
      <c r="J58">
        <f t="shared" si="3"/>
        <v>0</v>
      </c>
      <c r="K58">
        <f>COUNTIFS(Grunnspill!$A:$A,Annex!B58)</f>
        <v>0</v>
      </c>
      <c r="L58">
        <f>COUNTIFS(Grunnspill!$A:$A,Annex!C58)</f>
        <v>0</v>
      </c>
      <c r="M58">
        <f>COUNTIFS(Grunnspill!$A:$A,Annex!D58)</f>
        <v>0</v>
      </c>
      <c r="N58">
        <f>COUNTIFS(Grunnspill!$A:$A,Annex!E58)</f>
        <v>0</v>
      </c>
      <c r="O58">
        <f>COUNTIFS(Grunnspill!$A:$A,Annex!F58)</f>
        <v>0</v>
      </c>
      <c r="P58">
        <f>COUNTIFS(Grunnspill!$A:$A,Annex!G58)</f>
        <v>0</v>
      </c>
      <c r="Q58">
        <f>COUNTIFS(Grunnspill!$A:$A,Annex!H58)</f>
        <v>0</v>
      </c>
      <c r="R58">
        <f>COUNTIFS(Grunnspill!$A:$A,Annex!I58)</f>
        <v>0</v>
      </c>
    </row>
    <row r="59" spans="1:18" x14ac:dyDescent="0.2">
      <c r="A59">
        <v>56</v>
      </c>
      <c r="B59" s="1" t="s">
        <v>104</v>
      </c>
      <c r="C59" s="1" t="s">
        <v>107</v>
      </c>
      <c r="D59" s="1" t="s">
        <v>112</v>
      </c>
      <c r="E59" s="1" t="s">
        <v>110</v>
      </c>
      <c r="F59" s="1" t="s">
        <v>103</v>
      </c>
      <c r="G59" s="1" t="s">
        <v>105</v>
      </c>
      <c r="H59" s="1" t="s">
        <v>108</v>
      </c>
      <c r="I59" s="1" t="s">
        <v>109</v>
      </c>
      <c r="J59">
        <f t="shared" si="3"/>
        <v>0</v>
      </c>
      <c r="K59">
        <f>COUNTIFS(Grunnspill!$A:$A,Annex!B59)</f>
        <v>0</v>
      </c>
      <c r="L59">
        <f>COUNTIFS(Grunnspill!$A:$A,Annex!C59)</f>
        <v>0</v>
      </c>
      <c r="M59">
        <f>COUNTIFS(Grunnspill!$A:$A,Annex!D59)</f>
        <v>0</v>
      </c>
      <c r="N59">
        <f>COUNTIFS(Grunnspill!$A:$A,Annex!E59)</f>
        <v>0</v>
      </c>
      <c r="O59">
        <f>COUNTIFS(Grunnspill!$A:$A,Annex!F59)</f>
        <v>0</v>
      </c>
      <c r="P59">
        <f>COUNTIFS(Grunnspill!$A:$A,Annex!G59)</f>
        <v>0</v>
      </c>
      <c r="Q59">
        <f>COUNTIFS(Grunnspill!$A:$A,Annex!H59)</f>
        <v>0</v>
      </c>
      <c r="R59">
        <f>COUNTIFS(Grunnspill!$A:$A,Annex!I59)</f>
        <v>0</v>
      </c>
    </row>
    <row r="60" spans="1:18" x14ac:dyDescent="0.2">
      <c r="A60">
        <v>57</v>
      </c>
      <c r="B60" s="1" t="s">
        <v>106</v>
      </c>
      <c r="C60" s="1" t="s">
        <v>107</v>
      </c>
      <c r="D60" s="1" t="s">
        <v>112</v>
      </c>
      <c r="E60" s="1" t="s">
        <v>110</v>
      </c>
      <c r="F60" s="1" t="s">
        <v>103</v>
      </c>
      <c r="G60" s="1" t="s">
        <v>105</v>
      </c>
      <c r="H60" s="1" t="s">
        <v>108</v>
      </c>
      <c r="I60" s="1" t="s">
        <v>109</v>
      </c>
      <c r="J60">
        <f t="shared" si="3"/>
        <v>0</v>
      </c>
      <c r="K60">
        <f>COUNTIFS(Grunnspill!$A:$A,Annex!B60)</f>
        <v>0</v>
      </c>
      <c r="L60">
        <f>COUNTIFS(Grunnspill!$A:$A,Annex!C60)</f>
        <v>0</v>
      </c>
      <c r="M60">
        <f>COUNTIFS(Grunnspill!$A:$A,Annex!D60)</f>
        <v>0</v>
      </c>
      <c r="N60">
        <f>COUNTIFS(Grunnspill!$A:$A,Annex!E60)</f>
        <v>0</v>
      </c>
      <c r="O60">
        <f>COUNTIFS(Grunnspill!$A:$A,Annex!F60)</f>
        <v>0</v>
      </c>
      <c r="P60">
        <f>COUNTIFS(Grunnspill!$A:$A,Annex!G60)</f>
        <v>0</v>
      </c>
      <c r="Q60">
        <f>COUNTIFS(Grunnspill!$A:$A,Annex!H60)</f>
        <v>0</v>
      </c>
      <c r="R60">
        <f>COUNTIFS(Grunnspill!$A:$A,Annex!I60)</f>
        <v>0</v>
      </c>
    </row>
    <row r="61" spans="1:18" x14ac:dyDescent="0.2">
      <c r="A61">
        <v>58</v>
      </c>
      <c r="B61" s="1" t="s">
        <v>106</v>
      </c>
      <c r="C61" s="1" t="s">
        <v>107</v>
      </c>
      <c r="D61" s="1" t="s">
        <v>112</v>
      </c>
      <c r="E61" s="1" t="s">
        <v>110</v>
      </c>
      <c r="F61" s="1" t="s">
        <v>104</v>
      </c>
      <c r="G61" s="1" t="s">
        <v>105</v>
      </c>
      <c r="H61" s="1" t="s">
        <v>108</v>
      </c>
      <c r="I61" s="1" t="s">
        <v>109</v>
      </c>
      <c r="J61">
        <f t="shared" si="3"/>
        <v>0</v>
      </c>
      <c r="K61">
        <f>COUNTIFS(Grunnspill!$A:$A,Annex!B61)</f>
        <v>0</v>
      </c>
      <c r="L61">
        <f>COUNTIFS(Grunnspill!$A:$A,Annex!C61)</f>
        <v>0</v>
      </c>
      <c r="M61">
        <f>COUNTIFS(Grunnspill!$A:$A,Annex!D61)</f>
        <v>0</v>
      </c>
      <c r="N61">
        <f>COUNTIFS(Grunnspill!$A:$A,Annex!E61)</f>
        <v>0</v>
      </c>
      <c r="O61">
        <f>COUNTIFS(Grunnspill!$A:$A,Annex!F61)</f>
        <v>0</v>
      </c>
      <c r="P61">
        <f>COUNTIFS(Grunnspill!$A:$A,Annex!G61)</f>
        <v>0</v>
      </c>
      <c r="Q61">
        <f>COUNTIFS(Grunnspill!$A:$A,Annex!H61)</f>
        <v>0</v>
      </c>
      <c r="R61">
        <f>COUNTIFS(Grunnspill!$A:$A,Annex!I61)</f>
        <v>0</v>
      </c>
    </row>
    <row r="62" spans="1:18" x14ac:dyDescent="0.2">
      <c r="A62">
        <v>59</v>
      </c>
      <c r="B62" s="1" t="s">
        <v>106</v>
      </c>
      <c r="C62" s="1" t="s">
        <v>107</v>
      </c>
      <c r="D62" s="1" t="s">
        <v>112</v>
      </c>
      <c r="E62" s="1" t="s">
        <v>110</v>
      </c>
      <c r="F62" s="1" t="s">
        <v>103</v>
      </c>
      <c r="G62" s="1" t="s">
        <v>105</v>
      </c>
      <c r="H62" s="1" t="s">
        <v>108</v>
      </c>
      <c r="I62" s="1" t="s">
        <v>104</v>
      </c>
      <c r="J62">
        <f t="shared" si="3"/>
        <v>0</v>
      </c>
      <c r="K62">
        <f>COUNTIFS(Grunnspill!$A:$A,Annex!B62)</f>
        <v>0</v>
      </c>
      <c r="L62">
        <f>COUNTIFS(Grunnspill!$A:$A,Annex!C62)</f>
        <v>0</v>
      </c>
      <c r="M62">
        <f>COUNTIFS(Grunnspill!$A:$A,Annex!D62)</f>
        <v>0</v>
      </c>
      <c r="N62">
        <f>COUNTIFS(Grunnspill!$A:$A,Annex!E62)</f>
        <v>0</v>
      </c>
      <c r="O62">
        <f>COUNTIFS(Grunnspill!$A:$A,Annex!F62)</f>
        <v>0</v>
      </c>
      <c r="P62">
        <f>COUNTIFS(Grunnspill!$A:$A,Annex!G62)</f>
        <v>0</v>
      </c>
      <c r="Q62">
        <f>COUNTIFS(Grunnspill!$A:$A,Annex!H62)</f>
        <v>0</v>
      </c>
      <c r="R62">
        <f>COUNTIFS(Grunnspill!$A:$A,Annex!I62)</f>
        <v>0</v>
      </c>
    </row>
    <row r="63" spans="1:18" x14ac:dyDescent="0.2">
      <c r="A63">
        <v>60</v>
      </c>
      <c r="B63" s="1" t="s">
        <v>106</v>
      </c>
      <c r="C63" s="1" t="s">
        <v>107</v>
      </c>
      <c r="D63" s="1" t="s">
        <v>112</v>
      </c>
      <c r="E63" s="1" t="s">
        <v>110</v>
      </c>
      <c r="F63" s="1" t="s">
        <v>103</v>
      </c>
      <c r="G63" s="1" t="s">
        <v>105</v>
      </c>
      <c r="H63" s="1" t="s">
        <v>104</v>
      </c>
      <c r="I63" s="1" t="s">
        <v>109</v>
      </c>
      <c r="J63">
        <f t="shared" si="3"/>
        <v>0</v>
      </c>
      <c r="K63">
        <f>COUNTIFS(Grunnspill!$A:$A,Annex!B63)</f>
        <v>0</v>
      </c>
      <c r="L63">
        <f>COUNTIFS(Grunnspill!$A:$A,Annex!C63)</f>
        <v>0</v>
      </c>
      <c r="M63">
        <f>COUNTIFS(Grunnspill!$A:$A,Annex!D63)</f>
        <v>0</v>
      </c>
      <c r="N63">
        <f>COUNTIFS(Grunnspill!$A:$A,Annex!E63)</f>
        <v>0</v>
      </c>
      <c r="O63">
        <f>COUNTIFS(Grunnspill!$A:$A,Annex!F63)</f>
        <v>0</v>
      </c>
      <c r="P63">
        <f>COUNTIFS(Grunnspill!$A:$A,Annex!G63)</f>
        <v>0</v>
      </c>
      <c r="Q63">
        <f>COUNTIFS(Grunnspill!$A:$A,Annex!H63)</f>
        <v>0</v>
      </c>
      <c r="R63">
        <f>COUNTIFS(Grunnspill!$A:$A,Annex!I63)</f>
        <v>0</v>
      </c>
    </row>
    <row r="64" spans="1:18" x14ac:dyDescent="0.2">
      <c r="A64">
        <v>61</v>
      </c>
      <c r="B64" s="1" t="s">
        <v>102</v>
      </c>
      <c r="C64" s="1" t="s">
        <v>103</v>
      </c>
      <c r="D64" s="1" t="s">
        <v>112</v>
      </c>
      <c r="E64" s="1" t="s">
        <v>110</v>
      </c>
      <c r="F64" s="1" t="s">
        <v>104</v>
      </c>
      <c r="G64" s="1" t="s">
        <v>106</v>
      </c>
      <c r="H64" s="1" t="s">
        <v>108</v>
      </c>
      <c r="I64" s="1" t="s">
        <v>109</v>
      </c>
      <c r="J64">
        <f t="shared" si="3"/>
        <v>0</v>
      </c>
      <c r="K64">
        <f>COUNTIFS(Grunnspill!$A:$A,Annex!B64)</f>
        <v>0</v>
      </c>
      <c r="L64">
        <f>COUNTIFS(Grunnspill!$A:$A,Annex!C64)</f>
        <v>0</v>
      </c>
      <c r="M64">
        <f>COUNTIFS(Grunnspill!$A:$A,Annex!D64)</f>
        <v>0</v>
      </c>
      <c r="N64">
        <f>COUNTIFS(Grunnspill!$A:$A,Annex!E64)</f>
        <v>0</v>
      </c>
      <c r="O64">
        <f>COUNTIFS(Grunnspill!$A:$A,Annex!F64)</f>
        <v>0</v>
      </c>
      <c r="P64">
        <f>COUNTIFS(Grunnspill!$A:$A,Annex!G64)</f>
        <v>0</v>
      </c>
      <c r="Q64">
        <f>COUNTIFS(Grunnspill!$A:$A,Annex!H64)</f>
        <v>0</v>
      </c>
      <c r="R64">
        <f>COUNTIFS(Grunnspill!$A:$A,Annex!I64)</f>
        <v>0</v>
      </c>
    </row>
    <row r="65" spans="1:18" x14ac:dyDescent="0.2">
      <c r="A65">
        <v>62</v>
      </c>
      <c r="B65" s="1" t="s">
        <v>102</v>
      </c>
      <c r="C65" s="1" t="s">
        <v>103</v>
      </c>
      <c r="D65" s="1" t="s">
        <v>112</v>
      </c>
      <c r="E65" s="1" t="s">
        <v>110</v>
      </c>
      <c r="F65" s="1" t="s">
        <v>104</v>
      </c>
      <c r="G65" s="1" t="s">
        <v>107</v>
      </c>
      <c r="H65" s="1" t="s">
        <v>108</v>
      </c>
      <c r="I65" s="1" t="s">
        <v>109</v>
      </c>
      <c r="J65">
        <f t="shared" si="3"/>
        <v>0</v>
      </c>
      <c r="K65">
        <f>COUNTIFS(Grunnspill!$A:$A,Annex!B65)</f>
        <v>0</v>
      </c>
      <c r="L65">
        <f>COUNTIFS(Grunnspill!$A:$A,Annex!C65)</f>
        <v>0</v>
      </c>
      <c r="M65">
        <f>COUNTIFS(Grunnspill!$A:$A,Annex!D65)</f>
        <v>0</v>
      </c>
      <c r="N65">
        <f>COUNTIFS(Grunnspill!$A:$A,Annex!E65)</f>
        <v>0</v>
      </c>
      <c r="O65">
        <f>COUNTIFS(Grunnspill!$A:$A,Annex!F65)</f>
        <v>0</v>
      </c>
      <c r="P65">
        <f>COUNTIFS(Grunnspill!$A:$A,Annex!G65)</f>
        <v>0</v>
      </c>
      <c r="Q65">
        <f>COUNTIFS(Grunnspill!$A:$A,Annex!H65)</f>
        <v>0</v>
      </c>
      <c r="R65">
        <f>COUNTIFS(Grunnspill!$A:$A,Annex!I65)</f>
        <v>0</v>
      </c>
    </row>
    <row r="66" spans="1:18" x14ac:dyDescent="0.2">
      <c r="A66">
        <v>63</v>
      </c>
      <c r="B66" s="1" t="s">
        <v>102</v>
      </c>
      <c r="C66" s="1" t="s">
        <v>103</v>
      </c>
      <c r="D66" s="1" t="s">
        <v>112</v>
      </c>
      <c r="E66" s="1" t="s">
        <v>110</v>
      </c>
      <c r="F66" s="1" t="s">
        <v>106</v>
      </c>
      <c r="G66" s="1" t="s">
        <v>107</v>
      </c>
      <c r="H66" s="1" t="s">
        <v>108</v>
      </c>
      <c r="I66" s="1" t="s">
        <v>109</v>
      </c>
      <c r="J66">
        <f t="shared" si="3"/>
        <v>0</v>
      </c>
      <c r="K66">
        <f>COUNTIFS(Grunnspill!$A:$A,Annex!B66)</f>
        <v>0</v>
      </c>
      <c r="L66">
        <f>COUNTIFS(Grunnspill!$A:$A,Annex!C66)</f>
        <v>0</v>
      </c>
      <c r="M66">
        <f>COUNTIFS(Grunnspill!$A:$A,Annex!D66)</f>
        <v>0</v>
      </c>
      <c r="N66">
        <f>COUNTIFS(Grunnspill!$A:$A,Annex!E66)</f>
        <v>0</v>
      </c>
      <c r="O66">
        <f>COUNTIFS(Grunnspill!$A:$A,Annex!F66)</f>
        <v>0</v>
      </c>
      <c r="P66">
        <f>COUNTIFS(Grunnspill!$A:$A,Annex!G66)</f>
        <v>0</v>
      </c>
      <c r="Q66">
        <f>COUNTIFS(Grunnspill!$A:$A,Annex!H66)</f>
        <v>0</v>
      </c>
      <c r="R66">
        <f>COUNTIFS(Grunnspill!$A:$A,Annex!I66)</f>
        <v>0</v>
      </c>
    </row>
    <row r="67" spans="1:18" x14ac:dyDescent="0.2">
      <c r="A67">
        <v>64</v>
      </c>
      <c r="B67" s="1" t="s">
        <v>102</v>
      </c>
      <c r="C67" s="1" t="s">
        <v>107</v>
      </c>
      <c r="D67" s="1" t="s">
        <v>112</v>
      </c>
      <c r="E67" s="1" t="s">
        <v>110</v>
      </c>
      <c r="F67" s="1" t="s">
        <v>104</v>
      </c>
      <c r="G67" s="1" t="s">
        <v>106</v>
      </c>
      <c r="H67" s="1" t="s">
        <v>108</v>
      </c>
      <c r="I67" s="1" t="s">
        <v>109</v>
      </c>
      <c r="J67">
        <f t="shared" si="3"/>
        <v>0</v>
      </c>
      <c r="K67">
        <f>COUNTIFS(Grunnspill!$A:$A,Annex!B67)</f>
        <v>0</v>
      </c>
      <c r="L67">
        <f>COUNTIFS(Grunnspill!$A:$A,Annex!C67)</f>
        <v>0</v>
      </c>
      <c r="M67">
        <f>COUNTIFS(Grunnspill!$A:$A,Annex!D67)</f>
        <v>0</v>
      </c>
      <c r="N67">
        <f>COUNTIFS(Grunnspill!$A:$A,Annex!E67)</f>
        <v>0</v>
      </c>
      <c r="O67">
        <f>COUNTIFS(Grunnspill!$A:$A,Annex!F67)</f>
        <v>0</v>
      </c>
      <c r="P67">
        <f>COUNTIFS(Grunnspill!$A:$A,Annex!G67)</f>
        <v>0</v>
      </c>
      <c r="Q67">
        <f>COUNTIFS(Grunnspill!$A:$A,Annex!H67)</f>
        <v>0</v>
      </c>
      <c r="R67">
        <f>COUNTIFS(Grunnspill!$A:$A,Annex!I67)</f>
        <v>0</v>
      </c>
    </row>
    <row r="68" spans="1:18" x14ac:dyDescent="0.2">
      <c r="A68">
        <v>65</v>
      </c>
      <c r="B68" s="1" t="s">
        <v>102</v>
      </c>
      <c r="C68" s="1" t="s">
        <v>103</v>
      </c>
      <c r="D68" s="1" t="s">
        <v>112</v>
      </c>
      <c r="E68" s="1" t="s">
        <v>110</v>
      </c>
      <c r="F68" s="1" t="s">
        <v>106</v>
      </c>
      <c r="G68" s="1" t="s">
        <v>107</v>
      </c>
      <c r="H68" s="1" t="s">
        <v>108</v>
      </c>
      <c r="I68" s="1" t="s">
        <v>104</v>
      </c>
      <c r="J68">
        <f t="shared" si="3"/>
        <v>0</v>
      </c>
      <c r="K68">
        <f>COUNTIFS(Grunnspill!$A:$A,Annex!B68)</f>
        <v>0</v>
      </c>
      <c r="L68">
        <f>COUNTIFS(Grunnspill!$A:$A,Annex!C68)</f>
        <v>0</v>
      </c>
      <c r="M68">
        <f>COUNTIFS(Grunnspill!$A:$A,Annex!D68)</f>
        <v>0</v>
      </c>
      <c r="N68">
        <f>COUNTIFS(Grunnspill!$A:$A,Annex!E68)</f>
        <v>0</v>
      </c>
      <c r="O68">
        <f>COUNTIFS(Grunnspill!$A:$A,Annex!F68)</f>
        <v>0</v>
      </c>
      <c r="P68">
        <f>COUNTIFS(Grunnspill!$A:$A,Annex!G68)</f>
        <v>0</v>
      </c>
      <c r="Q68">
        <f>COUNTIFS(Grunnspill!$A:$A,Annex!H68)</f>
        <v>0</v>
      </c>
      <c r="R68">
        <f>COUNTIFS(Grunnspill!$A:$A,Annex!I68)</f>
        <v>0</v>
      </c>
    </row>
    <row r="69" spans="1:18" x14ac:dyDescent="0.2">
      <c r="A69">
        <v>66</v>
      </c>
      <c r="B69" s="1" t="s">
        <v>102</v>
      </c>
      <c r="C69" s="1" t="s">
        <v>103</v>
      </c>
      <c r="D69" s="1" t="s">
        <v>112</v>
      </c>
      <c r="E69" s="1" t="s">
        <v>110</v>
      </c>
      <c r="F69" s="1" t="s">
        <v>106</v>
      </c>
      <c r="G69" s="1" t="s">
        <v>107</v>
      </c>
      <c r="H69" s="1" t="s">
        <v>104</v>
      </c>
      <c r="I69" s="1" t="s">
        <v>109</v>
      </c>
      <c r="J69">
        <f t="shared" si="3"/>
        <v>0</v>
      </c>
      <c r="K69">
        <f>COUNTIFS(Grunnspill!$A:$A,Annex!B69)</f>
        <v>0</v>
      </c>
      <c r="L69">
        <f>COUNTIFS(Grunnspill!$A:$A,Annex!C69)</f>
        <v>0</v>
      </c>
      <c r="M69">
        <f>COUNTIFS(Grunnspill!$A:$A,Annex!D69)</f>
        <v>0</v>
      </c>
      <c r="N69">
        <f>COUNTIFS(Grunnspill!$A:$A,Annex!E69)</f>
        <v>0</v>
      </c>
      <c r="O69">
        <f>COUNTIFS(Grunnspill!$A:$A,Annex!F69)</f>
        <v>0</v>
      </c>
      <c r="P69">
        <f>COUNTIFS(Grunnspill!$A:$A,Annex!G69)</f>
        <v>0</v>
      </c>
      <c r="Q69">
        <f>COUNTIFS(Grunnspill!$A:$A,Annex!H69)</f>
        <v>0</v>
      </c>
      <c r="R69">
        <f>COUNTIFS(Grunnspill!$A:$A,Annex!I69)</f>
        <v>0</v>
      </c>
    </row>
    <row r="70" spans="1:18" x14ac:dyDescent="0.2">
      <c r="A70">
        <v>67</v>
      </c>
      <c r="B70" s="1" t="s">
        <v>102</v>
      </c>
      <c r="C70" s="1" t="s">
        <v>103</v>
      </c>
      <c r="D70" s="1" t="s">
        <v>112</v>
      </c>
      <c r="E70" s="1" t="s">
        <v>110</v>
      </c>
      <c r="F70" s="1" t="s">
        <v>104</v>
      </c>
      <c r="G70" s="1" t="s">
        <v>105</v>
      </c>
      <c r="H70" s="1" t="s">
        <v>108</v>
      </c>
      <c r="I70" s="1" t="s">
        <v>109</v>
      </c>
      <c r="J70">
        <f t="shared" si="3"/>
        <v>0</v>
      </c>
      <c r="K70">
        <f>COUNTIFS(Grunnspill!$A:$A,Annex!B70)</f>
        <v>0</v>
      </c>
      <c r="L70">
        <f>COUNTIFS(Grunnspill!$A:$A,Annex!C70)</f>
        <v>0</v>
      </c>
      <c r="M70">
        <f>COUNTIFS(Grunnspill!$A:$A,Annex!D70)</f>
        <v>0</v>
      </c>
      <c r="N70">
        <f>COUNTIFS(Grunnspill!$A:$A,Annex!E70)</f>
        <v>0</v>
      </c>
      <c r="O70">
        <f>COUNTIFS(Grunnspill!$A:$A,Annex!F70)</f>
        <v>0</v>
      </c>
      <c r="P70">
        <f>COUNTIFS(Grunnspill!$A:$A,Annex!G70)</f>
        <v>0</v>
      </c>
      <c r="Q70">
        <f>COUNTIFS(Grunnspill!$A:$A,Annex!H70)</f>
        <v>0</v>
      </c>
      <c r="R70">
        <f>COUNTIFS(Grunnspill!$A:$A,Annex!I70)</f>
        <v>0</v>
      </c>
    </row>
    <row r="71" spans="1:18" x14ac:dyDescent="0.2">
      <c r="A71">
        <v>68</v>
      </c>
      <c r="B71" s="1" t="s">
        <v>102</v>
      </c>
      <c r="C71" s="1" t="s">
        <v>103</v>
      </c>
      <c r="D71" s="1" t="s">
        <v>112</v>
      </c>
      <c r="E71" s="1" t="s">
        <v>110</v>
      </c>
      <c r="F71" s="1" t="s">
        <v>106</v>
      </c>
      <c r="G71" s="1" t="s">
        <v>105</v>
      </c>
      <c r="H71" s="1" t="s">
        <v>108</v>
      </c>
      <c r="I71" s="1" t="s">
        <v>109</v>
      </c>
      <c r="J71">
        <f t="shared" si="3"/>
        <v>0</v>
      </c>
      <c r="K71">
        <f>COUNTIFS(Grunnspill!$A:$A,Annex!B71)</f>
        <v>0</v>
      </c>
      <c r="L71">
        <f>COUNTIFS(Grunnspill!$A:$A,Annex!C71)</f>
        <v>0</v>
      </c>
      <c r="M71">
        <f>COUNTIFS(Grunnspill!$A:$A,Annex!D71)</f>
        <v>0</v>
      </c>
      <c r="N71">
        <f>COUNTIFS(Grunnspill!$A:$A,Annex!E71)</f>
        <v>0</v>
      </c>
      <c r="O71">
        <f>COUNTIFS(Grunnspill!$A:$A,Annex!F71)</f>
        <v>0</v>
      </c>
      <c r="P71">
        <f>COUNTIFS(Grunnspill!$A:$A,Annex!G71)</f>
        <v>0</v>
      </c>
      <c r="Q71">
        <f>COUNTIFS(Grunnspill!$A:$A,Annex!H71)</f>
        <v>0</v>
      </c>
      <c r="R71">
        <f>COUNTIFS(Grunnspill!$A:$A,Annex!I71)</f>
        <v>0</v>
      </c>
    </row>
    <row r="72" spans="1:18" x14ac:dyDescent="0.2">
      <c r="A72">
        <v>69</v>
      </c>
      <c r="B72" s="1" t="s">
        <v>102</v>
      </c>
      <c r="C72" s="1" t="s">
        <v>104</v>
      </c>
      <c r="D72" s="1" t="s">
        <v>112</v>
      </c>
      <c r="E72" s="1" t="s">
        <v>110</v>
      </c>
      <c r="F72" s="1" t="s">
        <v>106</v>
      </c>
      <c r="G72" s="1" t="s">
        <v>105</v>
      </c>
      <c r="H72" s="1" t="s">
        <v>108</v>
      </c>
      <c r="I72" s="1" t="s">
        <v>109</v>
      </c>
      <c r="J72">
        <f t="shared" si="3"/>
        <v>0</v>
      </c>
      <c r="K72">
        <f>COUNTIFS(Grunnspill!$A:$A,Annex!B72)</f>
        <v>0</v>
      </c>
      <c r="L72">
        <f>COUNTIFS(Grunnspill!$A:$A,Annex!C72)</f>
        <v>0</v>
      </c>
      <c r="M72">
        <f>COUNTIFS(Grunnspill!$A:$A,Annex!D72)</f>
        <v>0</v>
      </c>
      <c r="N72">
        <f>COUNTIFS(Grunnspill!$A:$A,Annex!E72)</f>
        <v>0</v>
      </c>
      <c r="O72">
        <f>COUNTIFS(Grunnspill!$A:$A,Annex!F72)</f>
        <v>0</v>
      </c>
      <c r="P72">
        <f>COUNTIFS(Grunnspill!$A:$A,Annex!G72)</f>
        <v>0</v>
      </c>
      <c r="Q72">
        <f>COUNTIFS(Grunnspill!$A:$A,Annex!H72)</f>
        <v>0</v>
      </c>
      <c r="R72">
        <f>COUNTIFS(Grunnspill!$A:$A,Annex!I72)</f>
        <v>0</v>
      </c>
    </row>
    <row r="73" spans="1:18" x14ac:dyDescent="0.2">
      <c r="A73">
        <v>70</v>
      </c>
      <c r="B73" s="1" t="s">
        <v>102</v>
      </c>
      <c r="C73" s="1" t="s">
        <v>103</v>
      </c>
      <c r="D73" s="1" t="s">
        <v>112</v>
      </c>
      <c r="E73" s="1" t="s">
        <v>110</v>
      </c>
      <c r="F73" s="1" t="s">
        <v>106</v>
      </c>
      <c r="G73" s="1" t="s">
        <v>105</v>
      </c>
      <c r="H73" s="1" t="s">
        <v>108</v>
      </c>
      <c r="I73" s="1" t="s">
        <v>104</v>
      </c>
      <c r="J73">
        <f t="shared" si="3"/>
        <v>0</v>
      </c>
      <c r="K73">
        <f>COUNTIFS(Grunnspill!$A:$A,Annex!B73)</f>
        <v>0</v>
      </c>
      <c r="L73">
        <f>COUNTIFS(Grunnspill!$A:$A,Annex!C73)</f>
        <v>0</v>
      </c>
      <c r="M73">
        <f>COUNTIFS(Grunnspill!$A:$A,Annex!D73)</f>
        <v>0</v>
      </c>
      <c r="N73">
        <f>COUNTIFS(Grunnspill!$A:$A,Annex!E73)</f>
        <v>0</v>
      </c>
      <c r="O73">
        <f>COUNTIFS(Grunnspill!$A:$A,Annex!F73)</f>
        <v>0</v>
      </c>
      <c r="P73">
        <f>COUNTIFS(Grunnspill!$A:$A,Annex!G73)</f>
        <v>0</v>
      </c>
      <c r="Q73">
        <f>COUNTIFS(Grunnspill!$A:$A,Annex!H73)</f>
        <v>0</v>
      </c>
      <c r="R73">
        <f>COUNTIFS(Grunnspill!$A:$A,Annex!I73)</f>
        <v>0</v>
      </c>
    </row>
    <row r="74" spans="1:18" x14ac:dyDescent="0.2">
      <c r="A74">
        <v>71</v>
      </c>
      <c r="B74" s="1" t="s">
        <v>102</v>
      </c>
      <c r="C74" s="1" t="s">
        <v>103</v>
      </c>
      <c r="D74" s="1" t="s">
        <v>112</v>
      </c>
      <c r="E74" s="1" t="s">
        <v>110</v>
      </c>
      <c r="F74" s="1" t="s">
        <v>106</v>
      </c>
      <c r="G74" s="1" t="s">
        <v>105</v>
      </c>
      <c r="H74" s="1" t="s">
        <v>104</v>
      </c>
      <c r="I74" s="1" t="s">
        <v>109</v>
      </c>
      <c r="J74">
        <f t="shared" si="3"/>
        <v>0</v>
      </c>
      <c r="K74">
        <f>COUNTIFS(Grunnspill!$A:$A,Annex!B74)</f>
        <v>0</v>
      </c>
      <c r="L74">
        <f>COUNTIFS(Grunnspill!$A:$A,Annex!C74)</f>
        <v>0</v>
      </c>
      <c r="M74">
        <f>COUNTIFS(Grunnspill!$A:$A,Annex!D74)</f>
        <v>0</v>
      </c>
      <c r="N74">
        <f>COUNTIFS(Grunnspill!$A:$A,Annex!E74)</f>
        <v>0</v>
      </c>
      <c r="O74">
        <f>COUNTIFS(Grunnspill!$A:$A,Annex!F74)</f>
        <v>0</v>
      </c>
      <c r="P74">
        <f>COUNTIFS(Grunnspill!$A:$A,Annex!G74)</f>
        <v>0</v>
      </c>
      <c r="Q74">
        <f>COUNTIFS(Grunnspill!$A:$A,Annex!H74)</f>
        <v>0</v>
      </c>
      <c r="R74">
        <f>COUNTIFS(Grunnspill!$A:$A,Annex!I74)</f>
        <v>0</v>
      </c>
    </row>
    <row r="75" spans="1:18" x14ac:dyDescent="0.2">
      <c r="A75">
        <v>72</v>
      </c>
      <c r="B75" s="1" t="s">
        <v>102</v>
      </c>
      <c r="C75" s="1" t="s">
        <v>107</v>
      </c>
      <c r="D75" s="1" t="s">
        <v>112</v>
      </c>
      <c r="E75" s="1" t="s">
        <v>110</v>
      </c>
      <c r="F75" s="1" t="s">
        <v>103</v>
      </c>
      <c r="G75" s="1" t="s">
        <v>105</v>
      </c>
      <c r="H75" s="1" t="s">
        <v>108</v>
      </c>
      <c r="I75" s="1" t="s">
        <v>109</v>
      </c>
      <c r="J75">
        <f t="shared" si="3"/>
        <v>0</v>
      </c>
      <c r="K75">
        <f>COUNTIFS(Grunnspill!$A:$A,Annex!B75)</f>
        <v>0</v>
      </c>
      <c r="L75">
        <f>COUNTIFS(Grunnspill!$A:$A,Annex!C75)</f>
        <v>0</v>
      </c>
      <c r="M75">
        <f>COUNTIFS(Grunnspill!$A:$A,Annex!D75)</f>
        <v>0</v>
      </c>
      <c r="N75">
        <f>COUNTIFS(Grunnspill!$A:$A,Annex!E75)</f>
        <v>0</v>
      </c>
      <c r="O75">
        <f>COUNTIFS(Grunnspill!$A:$A,Annex!F75)</f>
        <v>0</v>
      </c>
      <c r="P75">
        <f>COUNTIFS(Grunnspill!$A:$A,Annex!G75)</f>
        <v>0</v>
      </c>
      <c r="Q75">
        <f>COUNTIFS(Grunnspill!$A:$A,Annex!H75)</f>
        <v>0</v>
      </c>
      <c r="R75">
        <f>COUNTIFS(Grunnspill!$A:$A,Annex!I75)</f>
        <v>0</v>
      </c>
    </row>
    <row r="76" spans="1:18" x14ac:dyDescent="0.2">
      <c r="A76">
        <v>73</v>
      </c>
      <c r="B76" s="1" t="s">
        <v>102</v>
      </c>
      <c r="C76" s="1" t="s">
        <v>107</v>
      </c>
      <c r="D76" s="1" t="s">
        <v>112</v>
      </c>
      <c r="E76" s="1" t="s">
        <v>110</v>
      </c>
      <c r="F76" s="1" t="s">
        <v>104</v>
      </c>
      <c r="G76" s="1" t="s">
        <v>105</v>
      </c>
      <c r="H76" s="1" t="s">
        <v>108</v>
      </c>
      <c r="I76" s="1" t="s">
        <v>109</v>
      </c>
      <c r="J76">
        <f t="shared" si="3"/>
        <v>0</v>
      </c>
      <c r="K76">
        <f>COUNTIFS(Grunnspill!$A:$A,Annex!B76)</f>
        <v>0</v>
      </c>
      <c r="L76">
        <f>COUNTIFS(Grunnspill!$A:$A,Annex!C76)</f>
        <v>0</v>
      </c>
      <c r="M76">
        <f>COUNTIFS(Grunnspill!$A:$A,Annex!D76)</f>
        <v>0</v>
      </c>
      <c r="N76">
        <f>COUNTIFS(Grunnspill!$A:$A,Annex!E76)</f>
        <v>0</v>
      </c>
      <c r="O76">
        <f>COUNTIFS(Grunnspill!$A:$A,Annex!F76)</f>
        <v>0</v>
      </c>
      <c r="P76">
        <f>COUNTIFS(Grunnspill!$A:$A,Annex!G76)</f>
        <v>0</v>
      </c>
      <c r="Q76">
        <f>COUNTIFS(Grunnspill!$A:$A,Annex!H76)</f>
        <v>0</v>
      </c>
      <c r="R76">
        <f>COUNTIFS(Grunnspill!$A:$A,Annex!I76)</f>
        <v>0</v>
      </c>
    </row>
    <row r="77" spans="1:18" x14ac:dyDescent="0.2">
      <c r="A77">
        <v>74</v>
      </c>
      <c r="B77" s="1" t="s">
        <v>102</v>
      </c>
      <c r="C77" s="1" t="s">
        <v>107</v>
      </c>
      <c r="D77" s="1" t="s">
        <v>112</v>
      </c>
      <c r="E77" s="1" t="s">
        <v>110</v>
      </c>
      <c r="F77" s="1" t="s">
        <v>103</v>
      </c>
      <c r="G77" s="1" t="s">
        <v>105</v>
      </c>
      <c r="H77" s="1" t="s">
        <v>108</v>
      </c>
      <c r="I77" s="1" t="s">
        <v>104</v>
      </c>
      <c r="J77">
        <f t="shared" si="3"/>
        <v>0</v>
      </c>
      <c r="K77">
        <f>COUNTIFS(Grunnspill!$A:$A,Annex!B77)</f>
        <v>0</v>
      </c>
      <c r="L77">
        <f>COUNTIFS(Grunnspill!$A:$A,Annex!C77)</f>
        <v>0</v>
      </c>
      <c r="M77">
        <f>COUNTIFS(Grunnspill!$A:$A,Annex!D77)</f>
        <v>0</v>
      </c>
      <c r="N77">
        <f>COUNTIFS(Grunnspill!$A:$A,Annex!E77)</f>
        <v>0</v>
      </c>
      <c r="O77">
        <f>COUNTIFS(Grunnspill!$A:$A,Annex!F77)</f>
        <v>0</v>
      </c>
      <c r="P77">
        <f>COUNTIFS(Grunnspill!$A:$A,Annex!G77)</f>
        <v>0</v>
      </c>
      <c r="Q77">
        <f>COUNTIFS(Grunnspill!$A:$A,Annex!H77)</f>
        <v>0</v>
      </c>
      <c r="R77">
        <f>COUNTIFS(Grunnspill!$A:$A,Annex!I77)</f>
        <v>0</v>
      </c>
    </row>
    <row r="78" spans="1:18" x14ac:dyDescent="0.2">
      <c r="A78">
        <v>75</v>
      </c>
      <c r="B78" s="1" t="s">
        <v>102</v>
      </c>
      <c r="C78" s="1" t="s">
        <v>107</v>
      </c>
      <c r="D78" s="1" t="s">
        <v>112</v>
      </c>
      <c r="E78" s="1" t="s">
        <v>110</v>
      </c>
      <c r="F78" s="1" t="s">
        <v>103</v>
      </c>
      <c r="G78" s="1" t="s">
        <v>105</v>
      </c>
      <c r="H78" s="1" t="s">
        <v>104</v>
      </c>
      <c r="I78" s="1" t="s">
        <v>109</v>
      </c>
      <c r="J78">
        <f t="shared" si="3"/>
        <v>0</v>
      </c>
      <c r="K78">
        <f>COUNTIFS(Grunnspill!$A:$A,Annex!B78)</f>
        <v>0</v>
      </c>
      <c r="L78">
        <f>COUNTIFS(Grunnspill!$A:$A,Annex!C78)</f>
        <v>0</v>
      </c>
      <c r="M78">
        <f>COUNTIFS(Grunnspill!$A:$A,Annex!D78)</f>
        <v>0</v>
      </c>
      <c r="N78">
        <f>COUNTIFS(Grunnspill!$A:$A,Annex!E78)</f>
        <v>0</v>
      </c>
      <c r="O78">
        <f>COUNTIFS(Grunnspill!$A:$A,Annex!F78)</f>
        <v>0</v>
      </c>
      <c r="P78">
        <f>COUNTIFS(Grunnspill!$A:$A,Annex!G78)</f>
        <v>0</v>
      </c>
      <c r="Q78">
        <f>COUNTIFS(Grunnspill!$A:$A,Annex!H78)</f>
        <v>0</v>
      </c>
      <c r="R78">
        <f>COUNTIFS(Grunnspill!$A:$A,Annex!I78)</f>
        <v>0</v>
      </c>
    </row>
    <row r="79" spans="1:18" x14ac:dyDescent="0.2">
      <c r="A79">
        <v>76</v>
      </c>
      <c r="B79" s="1" t="s">
        <v>102</v>
      </c>
      <c r="C79" s="1" t="s">
        <v>107</v>
      </c>
      <c r="D79" s="1" t="s">
        <v>112</v>
      </c>
      <c r="E79" s="1" t="s">
        <v>110</v>
      </c>
      <c r="F79" s="1" t="s">
        <v>106</v>
      </c>
      <c r="G79" s="1" t="s">
        <v>105</v>
      </c>
      <c r="H79" s="1" t="s">
        <v>108</v>
      </c>
      <c r="I79" s="1" t="s">
        <v>109</v>
      </c>
      <c r="J79">
        <f t="shared" si="3"/>
        <v>0</v>
      </c>
      <c r="K79">
        <f>COUNTIFS(Grunnspill!$A:$A,Annex!B79)</f>
        <v>0</v>
      </c>
      <c r="L79">
        <f>COUNTIFS(Grunnspill!$A:$A,Annex!C79)</f>
        <v>0</v>
      </c>
      <c r="M79">
        <f>COUNTIFS(Grunnspill!$A:$A,Annex!D79)</f>
        <v>0</v>
      </c>
      <c r="N79">
        <f>COUNTIFS(Grunnspill!$A:$A,Annex!E79)</f>
        <v>0</v>
      </c>
      <c r="O79">
        <f>COUNTIFS(Grunnspill!$A:$A,Annex!F79)</f>
        <v>0</v>
      </c>
      <c r="P79">
        <f>COUNTIFS(Grunnspill!$A:$A,Annex!G79)</f>
        <v>0</v>
      </c>
      <c r="Q79">
        <f>COUNTIFS(Grunnspill!$A:$A,Annex!H79)</f>
        <v>0</v>
      </c>
      <c r="R79">
        <f>COUNTIFS(Grunnspill!$A:$A,Annex!I79)</f>
        <v>0</v>
      </c>
    </row>
    <row r="80" spans="1:18" x14ac:dyDescent="0.2">
      <c r="A80">
        <v>77</v>
      </c>
      <c r="B80" s="1" t="s">
        <v>106</v>
      </c>
      <c r="C80" s="1" t="s">
        <v>107</v>
      </c>
      <c r="D80" s="1" t="s">
        <v>112</v>
      </c>
      <c r="E80" s="1" t="s">
        <v>110</v>
      </c>
      <c r="F80" s="1" t="s">
        <v>103</v>
      </c>
      <c r="G80" s="1" t="s">
        <v>105</v>
      </c>
      <c r="H80" s="1" t="s">
        <v>108</v>
      </c>
      <c r="I80" s="1" t="s">
        <v>102</v>
      </c>
      <c r="J80">
        <f t="shared" si="3"/>
        <v>0</v>
      </c>
      <c r="K80">
        <f>COUNTIFS(Grunnspill!$A:$A,Annex!B80)</f>
        <v>0</v>
      </c>
      <c r="L80">
        <f>COUNTIFS(Grunnspill!$A:$A,Annex!C80)</f>
        <v>0</v>
      </c>
      <c r="M80">
        <f>COUNTIFS(Grunnspill!$A:$A,Annex!D80)</f>
        <v>0</v>
      </c>
      <c r="N80">
        <f>COUNTIFS(Grunnspill!$A:$A,Annex!E80)</f>
        <v>0</v>
      </c>
      <c r="O80">
        <f>COUNTIFS(Grunnspill!$A:$A,Annex!F80)</f>
        <v>0</v>
      </c>
      <c r="P80">
        <f>COUNTIFS(Grunnspill!$A:$A,Annex!G80)</f>
        <v>0</v>
      </c>
      <c r="Q80">
        <f>COUNTIFS(Grunnspill!$A:$A,Annex!H80)</f>
        <v>0</v>
      </c>
      <c r="R80">
        <f>COUNTIFS(Grunnspill!$A:$A,Annex!I80)</f>
        <v>0</v>
      </c>
    </row>
    <row r="81" spans="1:18" x14ac:dyDescent="0.2">
      <c r="A81">
        <v>78</v>
      </c>
      <c r="B81" s="1" t="s">
        <v>106</v>
      </c>
      <c r="C81" s="1" t="s">
        <v>107</v>
      </c>
      <c r="D81" s="1" t="s">
        <v>112</v>
      </c>
      <c r="E81" s="1" t="s">
        <v>110</v>
      </c>
      <c r="F81" s="1" t="s">
        <v>103</v>
      </c>
      <c r="G81" s="1" t="s">
        <v>105</v>
      </c>
      <c r="H81" s="1" t="s">
        <v>102</v>
      </c>
      <c r="I81" s="1" t="s">
        <v>109</v>
      </c>
      <c r="J81">
        <f t="shared" si="3"/>
        <v>0</v>
      </c>
      <c r="K81">
        <f>COUNTIFS(Grunnspill!$A:$A,Annex!B81)</f>
        <v>0</v>
      </c>
      <c r="L81">
        <f>COUNTIFS(Grunnspill!$A:$A,Annex!C81)</f>
        <v>0</v>
      </c>
      <c r="M81">
        <f>COUNTIFS(Grunnspill!$A:$A,Annex!D81)</f>
        <v>0</v>
      </c>
      <c r="N81">
        <f>COUNTIFS(Grunnspill!$A:$A,Annex!E81)</f>
        <v>0</v>
      </c>
      <c r="O81">
        <f>COUNTIFS(Grunnspill!$A:$A,Annex!F81)</f>
        <v>0</v>
      </c>
      <c r="P81">
        <f>COUNTIFS(Grunnspill!$A:$A,Annex!G81)</f>
        <v>0</v>
      </c>
      <c r="Q81">
        <f>COUNTIFS(Grunnspill!$A:$A,Annex!H81)</f>
        <v>0</v>
      </c>
      <c r="R81">
        <f>COUNTIFS(Grunnspill!$A:$A,Annex!I81)</f>
        <v>0</v>
      </c>
    </row>
    <row r="82" spans="1:18" x14ac:dyDescent="0.2">
      <c r="A82">
        <v>79</v>
      </c>
      <c r="B82" s="1" t="s">
        <v>102</v>
      </c>
      <c r="C82" s="1" t="s">
        <v>107</v>
      </c>
      <c r="D82" s="1" t="s">
        <v>112</v>
      </c>
      <c r="E82" s="1" t="s">
        <v>110</v>
      </c>
      <c r="F82" s="1" t="s">
        <v>106</v>
      </c>
      <c r="G82" s="1" t="s">
        <v>105</v>
      </c>
      <c r="H82" s="1" t="s">
        <v>108</v>
      </c>
      <c r="I82" s="1" t="s">
        <v>104</v>
      </c>
      <c r="J82">
        <f t="shared" si="3"/>
        <v>0</v>
      </c>
      <c r="K82">
        <f>COUNTIFS(Grunnspill!$A:$A,Annex!B82)</f>
        <v>0</v>
      </c>
      <c r="L82">
        <f>COUNTIFS(Grunnspill!$A:$A,Annex!C82)</f>
        <v>0</v>
      </c>
      <c r="M82">
        <f>COUNTIFS(Grunnspill!$A:$A,Annex!D82)</f>
        <v>0</v>
      </c>
      <c r="N82">
        <f>COUNTIFS(Grunnspill!$A:$A,Annex!E82)</f>
        <v>0</v>
      </c>
      <c r="O82">
        <f>COUNTIFS(Grunnspill!$A:$A,Annex!F82)</f>
        <v>0</v>
      </c>
      <c r="P82">
        <f>COUNTIFS(Grunnspill!$A:$A,Annex!G82)</f>
        <v>0</v>
      </c>
      <c r="Q82">
        <f>COUNTIFS(Grunnspill!$A:$A,Annex!H82)</f>
        <v>0</v>
      </c>
      <c r="R82">
        <f>COUNTIFS(Grunnspill!$A:$A,Annex!I82)</f>
        <v>0</v>
      </c>
    </row>
    <row r="83" spans="1:18" x14ac:dyDescent="0.2">
      <c r="A83">
        <v>80</v>
      </c>
      <c r="B83" s="1" t="s">
        <v>102</v>
      </c>
      <c r="C83" s="1" t="s">
        <v>107</v>
      </c>
      <c r="D83" s="1" t="s">
        <v>112</v>
      </c>
      <c r="E83" s="1" t="s">
        <v>110</v>
      </c>
      <c r="F83" s="1" t="s">
        <v>106</v>
      </c>
      <c r="G83" s="1" t="s">
        <v>105</v>
      </c>
      <c r="H83" s="1" t="s">
        <v>104</v>
      </c>
      <c r="I83" s="1" t="s">
        <v>109</v>
      </c>
      <c r="J83">
        <f t="shared" si="3"/>
        <v>0</v>
      </c>
      <c r="K83">
        <f>COUNTIFS(Grunnspill!$A:$A,Annex!B83)</f>
        <v>0</v>
      </c>
      <c r="L83">
        <f>COUNTIFS(Grunnspill!$A:$A,Annex!C83)</f>
        <v>0</v>
      </c>
      <c r="M83">
        <f>COUNTIFS(Grunnspill!$A:$A,Annex!D83)</f>
        <v>0</v>
      </c>
      <c r="N83">
        <f>COUNTIFS(Grunnspill!$A:$A,Annex!E83)</f>
        <v>0</v>
      </c>
      <c r="O83">
        <f>COUNTIFS(Grunnspill!$A:$A,Annex!F83)</f>
        <v>0</v>
      </c>
      <c r="P83">
        <f>COUNTIFS(Grunnspill!$A:$A,Annex!G83)</f>
        <v>0</v>
      </c>
      <c r="Q83">
        <f>COUNTIFS(Grunnspill!$A:$A,Annex!H83)</f>
        <v>0</v>
      </c>
      <c r="R83">
        <f>COUNTIFS(Grunnspill!$A:$A,Annex!I83)</f>
        <v>0</v>
      </c>
    </row>
    <row r="84" spans="1:18" x14ac:dyDescent="0.2">
      <c r="A84">
        <v>81</v>
      </c>
      <c r="B84" s="1" t="s">
        <v>106</v>
      </c>
      <c r="C84" s="1" t="s">
        <v>107</v>
      </c>
      <c r="D84" s="1" t="s">
        <v>112</v>
      </c>
      <c r="E84" s="1" t="s">
        <v>110</v>
      </c>
      <c r="F84" s="1" t="s">
        <v>103</v>
      </c>
      <c r="G84" s="1" t="s">
        <v>105</v>
      </c>
      <c r="H84" s="1" t="s">
        <v>102</v>
      </c>
      <c r="I84" s="1" t="s">
        <v>104</v>
      </c>
      <c r="J84">
        <f t="shared" si="3"/>
        <v>0</v>
      </c>
      <c r="K84">
        <f>COUNTIFS(Grunnspill!$A:$A,Annex!B84)</f>
        <v>0</v>
      </c>
      <c r="L84">
        <f>COUNTIFS(Grunnspill!$A:$A,Annex!C84)</f>
        <v>0</v>
      </c>
      <c r="M84">
        <f>COUNTIFS(Grunnspill!$A:$A,Annex!D84)</f>
        <v>0</v>
      </c>
      <c r="N84">
        <f>COUNTIFS(Grunnspill!$A:$A,Annex!E84)</f>
        <v>0</v>
      </c>
      <c r="O84">
        <f>COUNTIFS(Grunnspill!$A:$A,Annex!F84)</f>
        <v>0</v>
      </c>
      <c r="P84">
        <f>COUNTIFS(Grunnspill!$A:$A,Annex!G84)</f>
        <v>0</v>
      </c>
      <c r="Q84">
        <f>COUNTIFS(Grunnspill!$A:$A,Annex!H84)</f>
        <v>0</v>
      </c>
      <c r="R84">
        <f>COUNTIFS(Grunnspill!$A:$A,Annex!I84)</f>
        <v>0</v>
      </c>
    </row>
    <row r="85" spans="1:18" x14ac:dyDescent="0.2">
      <c r="A85">
        <v>82</v>
      </c>
      <c r="B85" s="1" t="s">
        <v>106</v>
      </c>
      <c r="C85" s="1" t="s">
        <v>103</v>
      </c>
      <c r="D85" s="1" t="s">
        <v>112</v>
      </c>
      <c r="E85" s="1" t="s">
        <v>111</v>
      </c>
      <c r="F85" s="1" t="s">
        <v>104</v>
      </c>
      <c r="G85" s="1" t="s">
        <v>107</v>
      </c>
      <c r="H85" s="1" t="s">
        <v>108</v>
      </c>
      <c r="I85" s="1" t="s">
        <v>109</v>
      </c>
      <c r="J85">
        <f t="shared" si="3"/>
        <v>0</v>
      </c>
      <c r="K85">
        <f>COUNTIFS(Grunnspill!$A:$A,Annex!B85)</f>
        <v>0</v>
      </c>
      <c r="L85">
        <f>COUNTIFS(Grunnspill!$A:$A,Annex!C85)</f>
        <v>0</v>
      </c>
      <c r="M85">
        <f>COUNTIFS(Grunnspill!$A:$A,Annex!D85)</f>
        <v>0</v>
      </c>
      <c r="N85">
        <f>COUNTIFS(Grunnspill!$A:$A,Annex!E85)</f>
        <v>0</v>
      </c>
      <c r="O85">
        <f>COUNTIFS(Grunnspill!$A:$A,Annex!F85)</f>
        <v>0</v>
      </c>
      <c r="P85">
        <f>COUNTIFS(Grunnspill!$A:$A,Annex!G85)</f>
        <v>0</v>
      </c>
      <c r="Q85">
        <f>COUNTIFS(Grunnspill!$A:$A,Annex!H85)</f>
        <v>0</v>
      </c>
      <c r="R85">
        <f>COUNTIFS(Grunnspill!$A:$A,Annex!I85)</f>
        <v>0</v>
      </c>
    </row>
    <row r="86" spans="1:18" x14ac:dyDescent="0.2">
      <c r="A86">
        <v>83</v>
      </c>
      <c r="B86" s="1" t="s">
        <v>106</v>
      </c>
      <c r="C86" s="1" t="s">
        <v>103</v>
      </c>
      <c r="D86" s="1" t="s">
        <v>112</v>
      </c>
      <c r="E86" s="1" t="s">
        <v>111</v>
      </c>
      <c r="F86" s="1" t="s">
        <v>104</v>
      </c>
      <c r="G86" s="1" t="s">
        <v>105</v>
      </c>
      <c r="H86" s="1" t="s">
        <v>108</v>
      </c>
      <c r="I86" s="1" t="s">
        <v>109</v>
      </c>
      <c r="J86">
        <f t="shared" ref="J86:J149" si="4">SUM(K86:R86)</f>
        <v>0</v>
      </c>
      <c r="K86">
        <f>COUNTIFS(Grunnspill!$A:$A,Annex!B86)</f>
        <v>0</v>
      </c>
      <c r="L86">
        <f>COUNTIFS(Grunnspill!$A:$A,Annex!C86)</f>
        <v>0</v>
      </c>
      <c r="M86">
        <f>COUNTIFS(Grunnspill!$A:$A,Annex!D86)</f>
        <v>0</v>
      </c>
      <c r="N86">
        <f>COUNTIFS(Grunnspill!$A:$A,Annex!E86)</f>
        <v>0</v>
      </c>
      <c r="O86">
        <f>COUNTIFS(Grunnspill!$A:$A,Annex!F86)</f>
        <v>0</v>
      </c>
      <c r="P86">
        <f>COUNTIFS(Grunnspill!$A:$A,Annex!G86)</f>
        <v>0</v>
      </c>
      <c r="Q86">
        <f>COUNTIFS(Grunnspill!$A:$A,Annex!H86)</f>
        <v>0</v>
      </c>
      <c r="R86">
        <f>COUNTIFS(Grunnspill!$A:$A,Annex!I86)</f>
        <v>0</v>
      </c>
    </row>
    <row r="87" spans="1:18" x14ac:dyDescent="0.2">
      <c r="A87">
        <v>84</v>
      </c>
      <c r="B87" s="1" t="s">
        <v>104</v>
      </c>
      <c r="C87" s="1" t="s">
        <v>107</v>
      </c>
      <c r="D87" s="1" t="s">
        <v>112</v>
      </c>
      <c r="E87" s="1" t="s">
        <v>111</v>
      </c>
      <c r="F87" s="1" t="s">
        <v>103</v>
      </c>
      <c r="G87" s="1" t="s">
        <v>105</v>
      </c>
      <c r="H87" s="1" t="s">
        <v>108</v>
      </c>
      <c r="I87" s="1" t="s">
        <v>109</v>
      </c>
      <c r="J87">
        <f t="shared" si="4"/>
        <v>0</v>
      </c>
      <c r="K87">
        <f>COUNTIFS(Grunnspill!$A:$A,Annex!B87)</f>
        <v>0</v>
      </c>
      <c r="L87">
        <f>COUNTIFS(Grunnspill!$A:$A,Annex!C87)</f>
        <v>0</v>
      </c>
      <c r="M87">
        <f>COUNTIFS(Grunnspill!$A:$A,Annex!D87)</f>
        <v>0</v>
      </c>
      <c r="N87">
        <f>COUNTIFS(Grunnspill!$A:$A,Annex!E87)</f>
        <v>0</v>
      </c>
      <c r="O87">
        <f>COUNTIFS(Grunnspill!$A:$A,Annex!F87)</f>
        <v>0</v>
      </c>
      <c r="P87">
        <f>COUNTIFS(Grunnspill!$A:$A,Annex!G87)</f>
        <v>0</v>
      </c>
      <c r="Q87">
        <f>COUNTIFS(Grunnspill!$A:$A,Annex!H87)</f>
        <v>0</v>
      </c>
      <c r="R87">
        <f>COUNTIFS(Grunnspill!$A:$A,Annex!I87)</f>
        <v>0</v>
      </c>
    </row>
    <row r="88" spans="1:18" x14ac:dyDescent="0.2">
      <c r="A88">
        <v>85</v>
      </c>
      <c r="B88" s="1" t="s">
        <v>106</v>
      </c>
      <c r="C88" s="1" t="s">
        <v>107</v>
      </c>
      <c r="D88" s="1" t="s">
        <v>112</v>
      </c>
      <c r="E88" s="1" t="s">
        <v>111</v>
      </c>
      <c r="F88" s="1" t="s">
        <v>103</v>
      </c>
      <c r="G88" s="1" t="s">
        <v>105</v>
      </c>
      <c r="H88" s="1" t="s">
        <v>108</v>
      </c>
      <c r="I88" s="1" t="s">
        <v>109</v>
      </c>
      <c r="J88">
        <f t="shared" si="4"/>
        <v>0</v>
      </c>
      <c r="K88">
        <f>COUNTIFS(Grunnspill!$A:$A,Annex!B88)</f>
        <v>0</v>
      </c>
      <c r="L88">
        <f>COUNTIFS(Grunnspill!$A:$A,Annex!C88)</f>
        <v>0</v>
      </c>
      <c r="M88">
        <f>COUNTIFS(Grunnspill!$A:$A,Annex!D88)</f>
        <v>0</v>
      </c>
      <c r="N88">
        <f>COUNTIFS(Grunnspill!$A:$A,Annex!E88)</f>
        <v>0</v>
      </c>
      <c r="O88">
        <f>COUNTIFS(Grunnspill!$A:$A,Annex!F88)</f>
        <v>0</v>
      </c>
      <c r="P88">
        <f>COUNTIFS(Grunnspill!$A:$A,Annex!G88)</f>
        <v>0</v>
      </c>
      <c r="Q88">
        <f>COUNTIFS(Grunnspill!$A:$A,Annex!H88)</f>
        <v>0</v>
      </c>
      <c r="R88">
        <f>COUNTIFS(Grunnspill!$A:$A,Annex!I88)</f>
        <v>0</v>
      </c>
    </row>
    <row r="89" spans="1:18" x14ac:dyDescent="0.2">
      <c r="A89">
        <v>86</v>
      </c>
      <c r="B89" s="1" t="s">
        <v>106</v>
      </c>
      <c r="C89" s="1" t="s">
        <v>107</v>
      </c>
      <c r="D89" s="1" t="s">
        <v>112</v>
      </c>
      <c r="E89" s="1" t="s">
        <v>111</v>
      </c>
      <c r="F89" s="1" t="s">
        <v>104</v>
      </c>
      <c r="G89" s="1" t="s">
        <v>105</v>
      </c>
      <c r="H89" s="1" t="s">
        <v>108</v>
      </c>
      <c r="I89" s="1" t="s">
        <v>109</v>
      </c>
      <c r="J89">
        <f t="shared" si="4"/>
        <v>0</v>
      </c>
      <c r="K89">
        <f>COUNTIFS(Grunnspill!$A:$A,Annex!B89)</f>
        <v>0</v>
      </c>
      <c r="L89">
        <f>COUNTIFS(Grunnspill!$A:$A,Annex!C89)</f>
        <v>0</v>
      </c>
      <c r="M89">
        <f>COUNTIFS(Grunnspill!$A:$A,Annex!D89)</f>
        <v>0</v>
      </c>
      <c r="N89">
        <f>COUNTIFS(Grunnspill!$A:$A,Annex!E89)</f>
        <v>0</v>
      </c>
      <c r="O89">
        <f>COUNTIFS(Grunnspill!$A:$A,Annex!F89)</f>
        <v>0</v>
      </c>
      <c r="P89">
        <f>COUNTIFS(Grunnspill!$A:$A,Annex!G89)</f>
        <v>0</v>
      </c>
      <c r="Q89">
        <f>COUNTIFS(Grunnspill!$A:$A,Annex!H89)</f>
        <v>0</v>
      </c>
      <c r="R89">
        <f>COUNTIFS(Grunnspill!$A:$A,Annex!I89)</f>
        <v>0</v>
      </c>
    </row>
    <row r="90" spans="1:18" x14ac:dyDescent="0.2">
      <c r="A90">
        <v>87</v>
      </c>
      <c r="B90" s="1" t="s">
        <v>106</v>
      </c>
      <c r="C90" s="1" t="s">
        <v>107</v>
      </c>
      <c r="D90" s="1" t="s">
        <v>112</v>
      </c>
      <c r="E90" s="1" t="s">
        <v>111</v>
      </c>
      <c r="F90" s="1" t="s">
        <v>103</v>
      </c>
      <c r="G90" s="1" t="s">
        <v>105</v>
      </c>
      <c r="H90" s="1" t="s">
        <v>108</v>
      </c>
      <c r="I90" s="1" t="s">
        <v>104</v>
      </c>
      <c r="J90">
        <f t="shared" si="4"/>
        <v>0</v>
      </c>
      <c r="K90">
        <f>COUNTIFS(Grunnspill!$A:$A,Annex!B90)</f>
        <v>0</v>
      </c>
      <c r="L90">
        <f>COUNTIFS(Grunnspill!$A:$A,Annex!C90)</f>
        <v>0</v>
      </c>
      <c r="M90">
        <f>COUNTIFS(Grunnspill!$A:$A,Annex!D90)</f>
        <v>0</v>
      </c>
      <c r="N90">
        <f>COUNTIFS(Grunnspill!$A:$A,Annex!E90)</f>
        <v>0</v>
      </c>
      <c r="O90">
        <f>COUNTIFS(Grunnspill!$A:$A,Annex!F90)</f>
        <v>0</v>
      </c>
      <c r="P90">
        <f>COUNTIFS(Grunnspill!$A:$A,Annex!G90)</f>
        <v>0</v>
      </c>
      <c r="Q90">
        <f>COUNTIFS(Grunnspill!$A:$A,Annex!H90)</f>
        <v>0</v>
      </c>
      <c r="R90">
        <f>COUNTIFS(Grunnspill!$A:$A,Annex!I90)</f>
        <v>0</v>
      </c>
    </row>
    <row r="91" spans="1:18" x14ac:dyDescent="0.2">
      <c r="A91">
        <v>88</v>
      </c>
      <c r="B91" s="1" t="s">
        <v>106</v>
      </c>
      <c r="C91" s="1" t="s">
        <v>107</v>
      </c>
      <c r="D91" s="1" t="s">
        <v>112</v>
      </c>
      <c r="E91" s="1" t="s">
        <v>111</v>
      </c>
      <c r="F91" s="1" t="s">
        <v>103</v>
      </c>
      <c r="G91" s="1" t="s">
        <v>105</v>
      </c>
      <c r="H91" s="1" t="s">
        <v>104</v>
      </c>
      <c r="I91" s="1" t="s">
        <v>109</v>
      </c>
      <c r="J91">
        <f t="shared" si="4"/>
        <v>0</v>
      </c>
      <c r="K91">
        <f>COUNTIFS(Grunnspill!$A:$A,Annex!B91)</f>
        <v>0</v>
      </c>
      <c r="L91">
        <f>COUNTIFS(Grunnspill!$A:$A,Annex!C91)</f>
        <v>0</v>
      </c>
      <c r="M91">
        <f>COUNTIFS(Grunnspill!$A:$A,Annex!D91)</f>
        <v>0</v>
      </c>
      <c r="N91">
        <f>COUNTIFS(Grunnspill!$A:$A,Annex!E91)</f>
        <v>0</v>
      </c>
      <c r="O91">
        <f>COUNTIFS(Grunnspill!$A:$A,Annex!F91)</f>
        <v>0</v>
      </c>
      <c r="P91">
        <f>COUNTIFS(Grunnspill!$A:$A,Annex!G91)</f>
        <v>0</v>
      </c>
      <c r="Q91">
        <f>COUNTIFS(Grunnspill!$A:$A,Annex!H91)</f>
        <v>0</v>
      </c>
      <c r="R91">
        <f>COUNTIFS(Grunnspill!$A:$A,Annex!I91)</f>
        <v>0</v>
      </c>
    </row>
    <row r="92" spans="1:18" x14ac:dyDescent="0.2">
      <c r="A92">
        <v>89</v>
      </c>
      <c r="B92" s="1" t="s">
        <v>102</v>
      </c>
      <c r="C92" s="1" t="s">
        <v>103</v>
      </c>
      <c r="D92" s="1" t="s">
        <v>112</v>
      </c>
      <c r="E92" s="1" t="s">
        <v>111</v>
      </c>
      <c r="F92" s="1" t="s">
        <v>104</v>
      </c>
      <c r="G92" s="1" t="s">
        <v>106</v>
      </c>
      <c r="H92" s="1" t="s">
        <v>108</v>
      </c>
      <c r="I92" s="1" t="s">
        <v>109</v>
      </c>
      <c r="J92">
        <f t="shared" si="4"/>
        <v>0</v>
      </c>
      <c r="K92">
        <f>COUNTIFS(Grunnspill!$A:$A,Annex!B92)</f>
        <v>0</v>
      </c>
      <c r="L92">
        <f>COUNTIFS(Grunnspill!$A:$A,Annex!C92)</f>
        <v>0</v>
      </c>
      <c r="M92">
        <f>COUNTIFS(Grunnspill!$A:$A,Annex!D92)</f>
        <v>0</v>
      </c>
      <c r="N92">
        <f>COUNTIFS(Grunnspill!$A:$A,Annex!E92)</f>
        <v>0</v>
      </c>
      <c r="O92">
        <f>COUNTIFS(Grunnspill!$A:$A,Annex!F92)</f>
        <v>0</v>
      </c>
      <c r="P92">
        <f>COUNTIFS(Grunnspill!$A:$A,Annex!G92)</f>
        <v>0</v>
      </c>
      <c r="Q92">
        <f>COUNTIFS(Grunnspill!$A:$A,Annex!H92)</f>
        <v>0</v>
      </c>
      <c r="R92">
        <f>COUNTIFS(Grunnspill!$A:$A,Annex!I92)</f>
        <v>0</v>
      </c>
    </row>
    <row r="93" spans="1:18" x14ac:dyDescent="0.2">
      <c r="A93">
        <v>90</v>
      </c>
      <c r="B93" s="1" t="s">
        <v>102</v>
      </c>
      <c r="C93" s="1" t="s">
        <v>103</v>
      </c>
      <c r="D93" s="1" t="s">
        <v>112</v>
      </c>
      <c r="E93" s="1" t="s">
        <v>111</v>
      </c>
      <c r="F93" s="1" t="s">
        <v>104</v>
      </c>
      <c r="G93" s="1" t="s">
        <v>107</v>
      </c>
      <c r="H93" s="1" t="s">
        <v>108</v>
      </c>
      <c r="I93" s="1" t="s">
        <v>109</v>
      </c>
      <c r="J93">
        <f t="shared" si="4"/>
        <v>0</v>
      </c>
      <c r="K93">
        <f>COUNTIFS(Grunnspill!$A:$A,Annex!B93)</f>
        <v>0</v>
      </c>
      <c r="L93">
        <f>COUNTIFS(Grunnspill!$A:$A,Annex!C93)</f>
        <v>0</v>
      </c>
      <c r="M93">
        <f>COUNTIFS(Grunnspill!$A:$A,Annex!D93)</f>
        <v>0</v>
      </c>
      <c r="N93">
        <f>COUNTIFS(Grunnspill!$A:$A,Annex!E93)</f>
        <v>0</v>
      </c>
      <c r="O93">
        <f>COUNTIFS(Grunnspill!$A:$A,Annex!F93)</f>
        <v>0</v>
      </c>
      <c r="P93">
        <f>COUNTIFS(Grunnspill!$A:$A,Annex!G93)</f>
        <v>0</v>
      </c>
      <c r="Q93">
        <f>COUNTIFS(Grunnspill!$A:$A,Annex!H93)</f>
        <v>0</v>
      </c>
      <c r="R93">
        <f>COUNTIFS(Grunnspill!$A:$A,Annex!I93)</f>
        <v>0</v>
      </c>
    </row>
    <row r="94" spans="1:18" x14ac:dyDescent="0.2">
      <c r="A94">
        <v>91</v>
      </c>
      <c r="B94" s="1" t="s">
        <v>102</v>
      </c>
      <c r="C94" s="1" t="s">
        <v>103</v>
      </c>
      <c r="D94" s="1" t="s">
        <v>112</v>
      </c>
      <c r="E94" s="1" t="s">
        <v>111</v>
      </c>
      <c r="F94" s="1" t="s">
        <v>106</v>
      </c>
      <c r="G94" s="1" t="s">
        <v>107</v>
      </c>
      <c r="H94" s="1" t="s">
        <v>108</v>
      </c>
      <c r="I94" s="1" t="s">
        <v>109</v>
      </c>
      <c r="J94">
        <f t="shared" si="4"/>
        <v>0</v>
      </c>
      <c r="K94">
        <f>COUNTIFS(Grunnspill!$A:$A,Annex!B94)</f>
        <v>0</v>
      </c>
      <c r="L94">
        <f>COUNTIFS(Grunnspill!$A:$A,Annex!C94)</f>
        <v>0</v>
      </c>
      <c r="M94">
        <f>COUNTIFS(Grunnspill!$A:$A,Annex!D94)</f>
        <v>0</v>
      </c>
      <c r="N94">
        <f>COUNTIFS(Grunnspill!$A:$A,Annex!E94)</f>
        <v>0</v>
      </c>
      <c r="O94">
        <f>COUNTIFS(Grunnspill!$A:$A,Annex!F94)</f>
        <v>0</v>
      </c>
      <c r="P94">
        <f>COUNTIFS(Grunnspill!$A:$A,Annex!G94)</f>
        <v>0</v>
      </c>
      <c r="Q94">
        <f>COUNTIFS(Grunnspill!$A:$A,Annex!H94)</f>
        <v>0</v>
      </c>
      <c r="R94">
        <f>COUNTIFS(Grunnspill!$A:$A,Annex!I94)</f>
        <v>0</v>
      </c>
    </row>
    <row r="95" spans="1:18" x14ac:dyDescent="0.2">
      <c r="A95">
        <v>92</v>
      </c>
      <c r="B95" s="1" t="s">
        <v>102</v>
      </c>
      <c r="C95" s="1" t="s">
        <v>107</v>
      </c>
      <c r="D95" s="1" t="s">
        <v>112</v>
      </c>
      <c r="E95" s="1" t="s">
        <v>111</v>
      </c>
      <c r="F95" s="1" t="s">
        <v>104</v>
      </c>
      <c r="G95" s="1" t="s">
        <v>106</v>
      </c>
      <c r="H95" s="1" t="s">
        <v>108</v>
      </c>
      <c r="I95" s="1" t="s">
        <v>109</v>
      </c>
      <c r="J95">
        <f t="shared" si="4"/>
        <v>0</v>
      </c>
      <c r="K95">
        <f>COUNTIFS(Grunnspill!$A:$A,Annex!B95)</f>
        <v>0</v>
      </c>
      <c r="L95">
        <f>COUNTIFS(Grunnspill!$A:$A,Annex!C95)</f>
        <v>0</v>
      </c>
      <c r="M95">
        <f>COUNTIFS(Grunnspill!$A:$A,Annex!D95)</f>
        <v>0</v>
      </c>
      <c r="N95">
        <f>COUNTIFS(Grunnspill!$A:$A,Annex!E95)</f>
        <v>0</v>
      </c>
      <c r="O95">
        <f>COUNTIFS(Grunnspill!$A:$A,Annex!F95)</f>
        <v>0</v>
      </c>
      <c r="P95">
        <f>COUNTIFS(Grunnspill!$A:$A,Annex!G95)</f>
        <v>0</v>
      </c>
      <c r="Q95">
        <f>COUNTIFS(Grunnspill!$A:$A,Annex!H95)</f>
        <v>0</v>
      </c>
      <c r="R95">
        <f>COUNTIFS(Grunnspill!$A:$A,Annex!I95)</f>
        <v>0</v>
      </c>
    </row>
    <row r="96" spans="1:18" x14ac:dyDescent="0.2">
      <c r="A96">
        <v>93</v>
      </c>
      <c r="B96" s="1" t="s">
        <v>102</v>
      </c>
      <c r="C96" s="1" t="s">
        <v>103</v>
      </c>
      <c r="D96" s="1" t="s">
        <v>112</v>
      </c>
      <c r="E96" s="1" t="s">
        <v>111</v>
      </c>
      <c r="F96" s="1" t="s">
        <v>106</v>
      </c>
      <c r="G96" s="1" t="s">
        <v>107</v>
      </c>
      <c r="H96" s="1" t="s">
        <v>108</v>
      </c>
      <c r="I96" s="1" t="s">
        <v>104</v>
      </c>
      <c r="J96">
        <f t="shared" si="4"/>
        <v>0</v>
      </c>
      <c r="K96">
        <f>COUNTIFS(Grunnspill!$A:$A,Annex!B96)</f>
        <v>0</v>
      </c>
      <c r="L96">
        <f>COUNTIFS(Grunnspill!$A:$A,Annex!C96)</f>
        <v>0</v>
      </c>
      <c r="M96">
        <f>COUNTIFS(Grunnspill!$A:$A,Annex!D96)</f>
        <v>0</v>
      </c>
      <c r="N96">
        <f>COUNTIFS(Grunnspill!$A:$A,Annex!E96)</f>
        <v>0</v>
      </c>
      <c r="O96">
        <f>COUNTIFS(Grunnspill!$A:$A,Annex!F96)</f>
        <v>0</v>
      </c>
      <c r="P96">
        <f>COUNTIFS(Grunnspill!$A:$A,Annex!G96)</f>
        <v>0</v>
      </c>
      <c r="Q96">
        <f>COUNTIFS(Grunnspill!$A:$A,Annex!H96)</f>
        <v>0</v>
      </c>
      <c r="R96">
        <f>COUNTIFS(Grunnspill!$A:$A,Annex!I96)</f>
        <v>0</v>
      </c>
    </row>
    <row r="97" spans="1:18" x14ac:dyDescent="0.2">
      <c r="A97">
        <v>94</v>
      </c>
      <c r="B97" s="1" t="s">
        <v>102</v>
      </c>
      <c r="C97" s="1" t="s">
        <v>103</v>
      </c>
      <c r="D97" s="1" t="s">
        <v>112</v>
      </c>
      <c r="E97" s="1" t="s">
        <v>111</v>
      </c>
      <c r="F97" s="1" t="s">
        <v>106</v>
      </c>
      <c r="G97" s="1" t="s">
        <v>107</v>
      </c>
      <c r="H97" s="1" t="s">
        <v>104</v>
      </c>
      <c r="I97" s="1" t="s">
        <v>109</v>
      </c>
      <c r="J97">
        <f t="shared" si="4"/>
        <v>0</v>
      </c>
      <c r="K97">
        <f>COUNTIFS(Grunnspill!$A:$A,Annex!B97)</f>
        <v>0</v>
      </c>
      <c r="L97">
        <f>COUNTIFS(Grunnspill!$A:$A,Annex!C97)</f>
        <v>0</v>
      </c>
      <c r="M97">
        <f>COUNTIFS(Grunnspill!$A:$A,Annex!D97)</f>
        <v>0</v>
      </c>
      <c r="N97">
        <f>COUNTIFS(Grunnspill!$A:$A,Annex!E97)</f>
        <v>0</v>
      </c>
      <c r="O97">
        <f>COUNTIFS(Grunnspill!$A:$A,Annex!F97)</f>
        <v>0</v>
      </c>
      <c r="P97">
        <f>COUNTIFS(Grunnspill!$A:$A,Annex!G97)</f>
        <v>0</v>
      </c>
      <c r="Q97">
        <f>COUNTIFS(Grunnspill!$A:$A,Annex!H97)</f>
        <v>0</v>
      </c>
      <c r="R97">
        <f>COUNTIFS(Grunnspill!$A:$A,Annex!I97)</f>
        <v>0</v>
      </c>
    </row>
    <row r="98" spans="1:18" x14ac:dyDescent="0.2">
      <c r="A98">
        <v>95</v>
      </c>
      <c r="B98" s="1" t="s">
        <v>102</v>
      </c>
      <c r="C98" s="1" t="s">
        <v>103</v>
      </c>
      <c r="D98" s="1" t="s">
        <v>112</v>
      </c>
      <c r="E98" s="1" t="s">
        <v>111</v>
      </c>
      <c r="F98" s="1" t="s">
        <v>104</v>
      </c>
      <c r="G98" s="1" t="s">
        <v>105</v>
      </c>
      <c r="H98" s="1" t="s">
        <v>108</v>
      </c>
      <c r="I98" s="1" t="s">
        <v>109</v>
      </c>
      <c r="J98">
        <f t="shared" si="4"/>
        <v>0</v>
      </c>
      <c r="K98">
        <f>COUNTIFS(Grunnspill!$A:$A,Annex!B98)</f>
        <v>0</v>
      </c>
      <c r="L98">
        <f>COUNTIFS(Grunnspill!$A:$A,Annex!C98)</f>
        <v>0</v>
      </c>
      <c r="M98">
        <f>COUNTIFS(Grunnspill!$A:$A,Annex!D98)</f>
        <v>0</v>
      </c>
      <c r="N98">
        <f>COUNTIFS(Grunnspill!$A:$A,Annex!E98)</f>
        <v>0</v>
      </c>
      <c r="O98">
        <f>COUNTIFS(Grunnspill!$A:$A,Annex!F98)</f>
        <v>0</v>
      </c>
      <c r="P98">
        <f>COUNTIFS(Grunnspill!$A:$A,Annex!G98)</f>
        <v>0</v>
      </c>
      <c r="Q98">
        <f>COUNTIFS(Grunnspill!$A:$A,Annex!H98)</f>
        <v>0</v>
      </c>
      <c r="R98">
        <f>COUNTIFS(Grunnspill!$A:$A,Annex!I98)</f>
        <v>0</v>
      </c>
    </row>
    <row r="99" spans="1:18" x14ac:dyDescent="0.2">
      <c r="A99">
        <v>96</v>
      </c>
      <c r="B99" s="1" t="s">
        <v>102</v>
      </c>
      <c r="C99" s="1" t="s">
        <v>103</v>
      </c>
      <c r="D99" s="1" t="s">
        <v>112</v>
      </c>
      <c r="E99" s="1" t="s">
        <v>111</v>
      </c>
      <c r="F99" s="1" t="s">
        <v>106</v>
      </c>
      <c r="G99" s="1" t="s">
        <v>105</v>
      </c>
      <c r="H99" s="1" t="s">
        <v>108</v>
      </c>
      <c r="I99" s="1" t="s">
        <v>109</v>
      </c>
      <c r="J99">
        <f t="shared" si="4"/>
        <v>0</v>
      </c>
      <c r="K99">
        <f>COUNTIFS(Grunnspill!$A:$A,Annex!B99)</f>
        <v>0</v>
      </c>
      <c r="L99">
        <f>COUNTIFS(Grunnspill!$A:$A,Annex!C99)</f>
        <v>0</v>
      </c>
      <c r="M99">
        <f>COUNTIFS(Grunnspill!$A:$A,Annex!D99)</f>
        <v>0</v>
      </c>
      <c r="N99">
        <f>COUNTIFS(Grunnspill!$A:$A,Annex!E99)</f>
        <v>0</v>
      </c>
      <c r="O99">
        <f>COUNTIFS(Grunnspill!$A:$A,Annex!F99)</f>
        <v>0</v>
      </c>
      <c r="P99">
        <f>COUNTIFS(Grunnspill!$A:$A,Annex!G99)</f>
        <v>0</v>
      </c>
      <c r="Q99">
        <f>COUNTIFS(Grunnspill!$A:$A,Annex!H99)</f>
        <v>0</v>
      </c>
      <c r="R99">
        <f>COUNTIFS(Grunnspill!$A:$A,Annex!I99)</f>
        <v>0</v>
      </c>
    </row>
    <row r="100" spans="1:18" x14ac:dyDescent="0.2">
      <c r="A100">
        <v>97</v>
      </c>
      <c r="B100" s="1" t="s">
        <v>102</v>
      </c>
      <c r="C100" s="1" t="s">
        <v>104</v>
      </c>
      <c r="D100" s="1" t="s">
        <v>112</v>
      </c>
      <c r="E100" s="1" t="s">
        <v>111</v>
      </c>
      <c r="F100" s="1" t="s">
        <v>106</v>
      </c>
      <c r="G100" s="1" t="s">
        <v>105</v>
      </c>
      <c r="H100" s="1" t="s">
        <v>108</v>
      </c>
      <c r="I100" s="1" t="s">
        <v>109</v>
      </c>
      <c r="J100">
        <f t="shared" si="4"/>
        <v>0</v>
      </c>
      <c r="K100">
        <f>COUNTIFS(Grunnspill!$A:$A,Annex!B100)</f>
        <v>0</v>
      </c>
      <c r="L100">
        <f>COUNTIFS(Grunnspill!$A:$A,Annex!C100)</f>
        <v>0</v>
      </c>
      <c r="M100">
        <f>COUNTIFS(Grunnspill!$A:$A,Annex!D100)</f>
        <v>0</v>
      </c>
      <c r="N100">
        <f>COUNTIFS(Grunnspill!$A:$A,Annex!E100)</f>
        <v>0</v>
      </c>
      <c r="O100">
        <f>COUNTIFS(Grunnspill!$A:$A,Annex!F100)</f>
        <v>0</v>
      </c>
      <c r="P100">
        <f>COUNTIFS(Grunnspill!$A:$A,Annex!G100)</f>
        <v>0</v>
      </c>
      <c r="Q100">
        <f>COUNTIFS(Grunnspill!$A:$A,Annex!H100)</f>
        <v>0</v>
      </c>
      <c r="R100">
        <f>COUNTIFS(Grunnspill!$A:$A,Annex!I100)</f>
        <v>0</v>
      </c>
    </row>
    <row r="101" spans="1:18" x14ac:dyDescent="0.2">
      <c r="A101">
        <v>98</v>
      </c>
      <c r="B101" s="1" t="s">
        <v>102</v>
      </c>
      <c r="C101" s="1" t="s">
        <v>103</v>
      </c>
      <c r="D101" s="1" t="s">
        <v>112</v>
      </c>
      <c r="E101" s="1" t="s">
        <v>111</v>
      </c>
      <c r="F101" s="1" t="s">
        <v>106</v>
      </c>
      <c r="G101" s="1" t="s">
        <v>105</v>
      </c>
      <c r="H101" s="1" t="s">
        <v>108</v>
      </c>
      <c r="I101" s="1" t="s">
        <v>104</v>
      </c>
      <c r="J101">
        <f t="shared" si="4"/>
        <v>0</v>
      </c>
      <c r="K101">
        <f>COUNTIFS(Grunnspill!$A:$A,Annex!B101)</f>
        <v>0</v>
      </c>
      <c r="L101">
        <f>COUNTIFS(Grunnspill!$A:$A,Annex!C101)</f>
        <v>0</v>
      </c>
      <c r="M101">
        <f>COUNTIFS(Grunnspill!$A:$A,Annex!D101)</f>
        <v>0</v>
      </c>
      <c r="N101">
        <f>COUNTIFS(Grunnspill!$A:$A,Annex!E101)</f>
        <v>0</v>
      </c>
      <c r="O101">
        <f>COUNTIFS(Grunnspill!$A:$A,Annex!F101)</f>
        <v>0</v>
      </c>
      <c r="P101">
        <f>COUNTIFS(Grunnspill!$A:$A,Annex!G101)</f>
        <v>0</v>
      </c>
      <c r="Q101">
        <f>COUNTIFS(Grunnspill!$A:$A,Annex!H101)</f>
        <v>0</v>
      </c>
      <c r="R101">
        <f>COUNTIFS(Grunnspill!$A:$A,Annex!I101)</f>
        <v>0</v>
      </c>
    </row>
    <row r="102" spans="1:18" x14ac:dyDescent="0.2">
      <c r="A102">
        <v>99</v>
      </c>
      <c r="B102" s="1" t="s">
        <v>102</v>
      </c>
      <c r="C102" s="1" t="s">
        <v>103</v>
      </c>
      <c r="D102" s="1" t="s">
        <v>112</v>
      </c>
      <c r="E102" s="1" t="s">
        <v>111</v>
      </c>
      <c r="F102" s="1" t="s">
        <v>106</v>
      </c>
      <c r="G102" s="1" t="s">
        <v>105</v>
      </c>
      <c r="H102" s="1" t="s">
        <v>104</v>
      </c>
      <c r="I102" s="1" t="s">
        <v>109</v>
      </c>
      <c r="J102">
        <f t="shared" si="4"/>
        <v>0</v>
      </c>
      <c r="K102">
        <f>COUNTIFS(Grunnspill!$A:$A,Annex!B102)</f>
        <v>0</v>
      </c>
      <c r="L102">
        <f>COUNTIFS(Grunnspill!$A:$A,Annex!C102)</f>
        <v>0</v>
      </c>
      <c r="M102">
        <f>COUNTIFS(Grunnspill!$A:$A,Annex!D102)</f>
        <v>0</v>
      </c>
      <c r="N102">
        <f>COUNTIFS(Grunnspill!$A:$A,Annex!E102)</f>
        <v>0</v>
      </c>
      <c r="O102">
        <f>COUNTIFS(Grunnspill!$A:$A,Annex!F102)</f>
        <v>0</v>
      </c>
      <c r="P102">
        <f>COUNTIFS(Grunnspill!$A:$A,Annex!G102)</f>
        <v>0</v>
      </c>
      <c r="Q102">
        <f>COUNTIFS(Grunnspill!$A:$A,Annex!H102)</f>
        <v>0</v>
      </c>
      <c r="R102">
        <f>COUNTIFS(Grunnspill!$A:$A,Annex!I102)</f>
        <v>0</v>
      </c>
    </row>
    <row r="103" spans="1:18" x14ac:dyDescent="0.2">
      <c r="A103">
        <v>100</v>
      </c>
      <c r="B103" s="1" t="s">
        <v>102</v>
      </c>
      <c r="C103" s="1" t="s">
        <v>107</v>
      </c>
      <c r="D103" s="1" t="s">
        <v>112</v>
      </c>
      <c r="E103" s="1" t="s">
        <v>111</v>
      </c>
      <c r="F103" s="1" t="s">
        <v>103</v>
      </c>
      <c r="G103" s="1" t="s">
        <v>105</v>
      </c>
      <c r="H103" s="1" t="s">
        <v>108</v>
      </c>
      <c r="I103" s="1" t="s">
        <v>109</v>
      </c>
      <c r="J103">
        <f t="shared" si="4"/>
        <v>0</v>
      </c>
      <c r="K103">
        <f>COUNTIFS(Grunnspill!$A:$A,Annex!B103)</f>
        <v>0</v>
      </c>
      <c r="L103">
        <f>COUNTIFS(Grunnspill!$A:$A,Annex!C103)</f>
        <v>0</v>
      </c>
      <c r="M103">
        <f>COUNTIFS(Grunnspill!$A:$A,Annex!D103)</f>
        <v>0</v>
      </c>
      <c r="N103">
        <f>COUNTIFS(Grunnspill!$A:$A,Annex!E103)</f>
        <v>0</v>
      </c>
      <c r="O103">
        <f>COUNTIFS(Grunnspill!$A:$A,Annex!F103)</f>
        <v>0</v>
      </c>
      <c r="P103">
        <f>COUNTIFS(Grunnspill!$A:$A,Annex!G103)</f>
        <v>0</v>
      </c>
      <c r="Q103">
        <f>COUNTIFS(Grunnspill!$A:$A,Annex!H103)</f>
        <v>0</v>
      </c>
      <c r="R103">
        <f>COUNTIFS(Grunnspill!$A:$A,Annex!I103)</f>
        <v>0</v>
      </c>
    </row>
    <row r="104" spans="1:18" x14ac:dyDescent="0.2">
      <c r="A104">
        <v>101</v>
      </c>
      <c r="B104" s="1" t="s">
        <v>102</v>
      </c>
      <c r="C104" s="1" t="s">
        <v>107</v>
      </c>
      <c r="D104" s="1" t="s">
        <v>112</v>
      </c>
      <c r="E104" s="1" t="s">
        <v>111</v>
      </c>
      <c r="F104" s="1" t="s">
        <v>104</v>
      </c>
      <c r="G104" s="1" t="s">
        <v>105</v>
      </c>
      <c r="H104" s="1" t="s">
        <v>108</v>
      </c>
      <c r="I104" s="1" t="s">
        <v>109</v>
      </c>
      <c r="J104">
        <f t="shared" si="4"/>
        <v>0</v>
      </c>
      <c r="K104">
        <f>COUNTIFS(Grunnspill!$A:$A,Annex!B104)</f>
        <v>0</v>
      </c>
      <c r="L104">
        <f>COUNTIFS(Grunnspill!$A:$A,Annex!C104)</f>
        <v>0</v>
      </c>
      <c r="M104">
        <f>COUNTIFS(Grunnspill!$A:$A,Annex!D104)</f>
        <v>0</v>
      </c>
      <c r="N104">
        <f>COUNTIFS(Grunnspill!$A:$A,Annex!E104)</f>
        <v>0</v>
      </c>
      <c r="O104">
        <f>COUNTIFS(Grunnspill!$A:$A,Annex!F104)</f>
        <v>0</v>
      </c>
      <c r="P104">
        <f>COUNTIFS(Grunnspill!$A:$A,Annex!G104)</f>
        <v>0</v>
      </c>
      <c r="Q104">
        <f>COUNTIFS(Grunnspill!$A:$A,Annex!H104)</f>
        <v>0</v>
      </c>
      <c r="R104">
        <f>COUNTIFS(Grunnspill!$A:$A,Annex!I104)</f>
        <v>0</v>
      </c>
    </row>
    <row r="105" spans="1:18" x14ac:dyDescent="0.2">
      <c r="A105">
        <v>102</v>
      </c>
      <c r="B105" s="1" t="s">
        <v>102</v>
      </c>
      <c r="C105" s="1" t="s">
        <v>107</v>
      </c>
      <c r="D105" s="1" t="s">
        <v>112</v>
      </c>
      <c r="E105" s="1" t="s">
        <v>111</v>
      </c>
      <c r="F105" s="1" t="s">
        <v>103</v>
      </c>
      <c r="G105" s="1" t="s">
        <v>105</v>
      </c>
      <c r="H105" s="1" t="s">
        <v>108</v>
      </c>
      <c r="I105" s="1" t="s">
        <v>104</v>
      </c>
      <c r="J105">
        <f t="shared" si="4"/>
        <v>0</v>
      </c>
      <c r="K105">
        <f>COUNTIFS(Grunnspill!$A:$A,Annex!B105)</f>
        <v>0</v>
      </c>
      <c r="L105">
        <f>COUNTIFS(Grunnspill!$A:$A,Annex!C105)</f>
        <v>0</v>
      </c>
      <c r="M105">
        <f>COUNTIFS(Grunnspill!$A:$A,Annex!D105)</f>
        <v>0</v>
      </c>
      <c r="N105">
        <f>COUNTIFS(Grunnspill!$A:$A,Annex!E105)</f>
        <v>0</v>
      </c>
      <c r="O105">
        <f>COUNTIFS(Grunnspill!$A:$A,Annex!F105)</f>
        <v>0</v>
      </c>
      <c r="P105">
        <f>COUNTIFS(Grunnspill!$A:$A,Annex!G105)</f>
        <v>0</v>
      </c>
      <c r="Q105">
        <f>COUNTIFS(Grunnspill!$A:$A,Annex!H105)</f>
        <v>0</v>
      </c>
      <c r="R105">
        <f>COUNTIFS(Grunnspill!$A:$A,Annex!I105)</f>
        <v>0</v>
      </c>
    </row>
    <row r="106" spans="1:18" x14ac:dyDescent="0.2">
      <c r="A106">
        <v>103</v>
      </c>
      <c r="B106" s="1" t="s">
        <v>102</v>
      </c>
      <c r="C106" s="1" t="s">
        <v>107</v>
      </c>
      <c r="D106" s="1" t="s">
        <v>112</v>
      </c>
      <c r="E106" s="1" t="s">
        <v>111</v>
      </c>
      <c r="F106" s="1" t="s">
        <v>103</v>
      </c>
      <c r="G106" s="1" t="s">
        <v>105</v>
      </c>
      <c r="H106" s="1" t="s">
        <v>104</v>
      </c>
      <c r="I106" s="1" t="s">
        <v>109</v>
      </c>
      <c r="J106">
        <f t="shared" si="4"/>
        <v>0</v>
      </c>
      <c r="K106">
        <f>COUNTIFS(Grunnspill!$A:$A,Annex!B106)</f>
        <v>0</v>
      </c>
      <c r="L106">
        <f>COUNTIFS(Grunnspill!$A:$A,Annex!C106)</f>
        <v>0</v>
      </c>
      <c r="M106">
        <f>COUNTIFS(Grunnspill!$A:$A,Annex!D106)</f>
        <v>0</v>
      </c>
      <c r="N106">
        <f>COUNTIFS(Grunnspill!$A:$A,Annex!E106)</f>
        <v>0</v>
      </c>
      <c r="O106">
        <f>COUNTIFS(Grunnspill!$A:$A,Annex!F106)</f>
        <v>0</v>
      </c>
      <c r="P106">
        <f>COUNTIFS(Grunnspill!$A:$A,Annex!G106)</f>
        <v>0</v>
      </c>
      <c r="Q106">
        <f>COUNTIFS(Grunnspill!$A:$A,Annex!H106)</f>
        <v>0</v>
      </c>
      <c r="R106">
        <f>COUNTIFS(Grunnspill!$A:$A,Annex!I106)</f>
        <v>0</v>
      </c>
    </row>
    <row r="107" spans="1:18" x14ac:dyDescent="0.2">
      <c r="A107">
        <v>104</v>
      </c>
      <c r="B107" s="1" t="s">
        <v>102</v>
      </c>
      <c r="C107" s="1" t="s">
        <v>107</v>
      </c>
      <c r="D107" s="1" t="s">
        <v>112</v>
      </c>
      <c r="E107" s="1" t="s">
        <v>111</v>
      </c>
      <c r="F107" s="1" t="s">
        <v>106</v>
      </c>
      <c r="G107" s="1" t="s">
        <v>105</v>
      </c>
      <c r="H107" s="1" t="s">
        <v>108</v>
      </c>
      <c r="I107" s="1" t="s">
        <v>109</v>
      </c>
      <c r="J107">
        <f t="shared" si="4"/>
        <v>0</v>
      </c>
      <c r="K107">
        <f>COUNTIFS(Grunnspill!$A:$A,Annex!B107)</f>
        <v>0</v>
      </c>
      <c r="L107">
        <f>COUNTIFS(Grunnspill!$A:$A,Annex!C107)</f>
        <v>0</v>
      </c>
      <c r="M107">
        <f>COUNTIFS(Grunnspill!$A:$A,Annex!D107)</f>
        <v>0</v>
      </c>
      <c r="N107">
        <f>COUNTIFS(Grunnspill!$A:$A,Annex!E107)</f>
        <v>0</v>
      </c>
      <c r="O107">
        <f>COUNTIFS(Grunnspill!$A:$A,Annex!F107)</f>
        <v>0</v>
      </c>
      <c r="P107">
        <f>COUNTIFS(Grunnspill!$A:$A,Annex!G107)</f>
        <v>0</v>
      </c>
      <c r="Q107">
        <f>COUNTIFS(Grunnspill!$A:$A,Annex!H107)</f>
        <v>0</v>
      </c>
      <c r="R107">
        <f>COUNTIFS(Grunnspill!$A:$A,Annex!I107)</f>
        <v>0</v>
      </c>
    </row>
    <row r="108" spans="1:18" x14ac:dyDescent="0.2">
      <c r="A108">
        <v>105</v>
      </c>
      <c r="B108" s="1" t="s">
        <v>106</v>
      </c>
      <c r="C108" s="1" t="s">
        <v>107</v>
      </c>
      <c r="D108" s="1" t="s">
        <v>112</v>
      </c>
      <c r="E108" s="1" t="s">
        <v>111</v>
      </c>
      <c r="F108" s="1" t="s">
        <v>103</v>
      </c>
      <c r="G108" s="1" t="s">
        <v>105</v>
      </c>
      <c r="H108" s="1" t="s">
        <v>108</v>
      </c>
      <c r="I108" s="1" t="s">
        <v>102</v>
      </c>
      <c r="J108">
        <f t="shared" si="4"/>
        <v>0</v>
      </c>
      <c r="K108">
        <f>COUNTIFS(Grunnspill!$A:$A,Annex!B108)</f>
        <v>0</v>
      </c>
      <c r="L108">
        <f>COUNTIFS(Grunnspill!$A:$A,Annex!C108)</f>
        <v>0</v>
      </c>
      <c r="M108">
        <f>COUNTIFS(Grunnspill!$A:$A,Annex!D108)</f>
        <v>0</v>
      </c>
      <c r="N108">
        <f>COUNTIFS(Grunnspill!$A:$A,Annex!E108)</f>
        <v>0</v>
      </c>
      <c r="O108">
        <f>COUNTIFS(Grunnspill!$A:$A,Annex!F108)</f>
        <v>0</v>
      </c>
      <c r="P108">
        <f>COUNTIFS(Grunnspill!$A:$A,Annex!G108)</f>
        <v>0</v>
      </c>
      <c r="Q108">
        <f>COUNTIFS(Grunnspill!$A:$A,Annex!H108)</f>
        <v>0</v>
      </c>
      <c r="R108">
        <f>COUNTIFS(Grunnspill!$A:$A,Annex!I108)</f>
        <v>0</v>
      </c>
    </row>
    <row r="109" spans="1:18" x14ac:dyDescent="0.2">
      <c r="A109">
        <v>106</v>
      </c>
      <c r="B109" s="1" t="s">
        <v>106</v>
      </c>
      <c r="C109" s="1" t="s">
        <v>107</v>
      </c>
      <c r="D109" s="1" t="s">
        <v>112</v>
      </c>
      <c r="E109" s="1" t="s">
        <v>111</v>
      </c>
      <c r="F109" s="1" t="s">
        <v>103</v>
      </c>
      <c r="G109" s="1" t="s">
        <v>105</v>
      </c>
      <c r="H109" s="1" t="s">
        <v>102</v>
      </c>
      <c r="I109" s="1" t="s">
        <v>109</v>
      </c>
      <c r="J109">
        <f t="shared" si="4"/>
        <v>0</v>
      </c>
      <c r="K109">
        <f>COUNTIFS(Grunnspill!$A:$A,Annex!B109)</f>
        <v>0</v>
      </c>
      <c r="L109">
        <f>COUNTIFS(Grunnspill!$A:$A,Annex!C109)</f>
        <v>0</v>
      </c>
      <c r="M109">
        <f>COUNTIFS(Grunnspill!$A:$A,Annex!D109)</f>
        <v>0</v>
      </c>
      <c r="N109">
        <f>COUNTIFS(Grunnspill!$A:$A,Annex!E109)</f>
        <v>0</v>
      </c>
      <c r="O109">
        <f>COUNTIFS(Grunnspill!$A:$A,Annex!F109)</f>
        <v>0</v>
      </c>
      <c r="P109">
        <f>COUNTIFS(Grunnspill!$A:$A,Annex!G109)</f>
        <v>0</v>
      </c>
      <c r="Q109">
        <f>COUNTIFS(Grunnspill!$A:$A,Annex!H109)</f>
        <v>0</v>
      </c>
      <c r="R109">
        <f>COUNTIFS(Grunnspill!$A:$A,Annex!I109)</f>
        <v>0</v>
      </c>
    </row>
    <row r="110" spans="1:18" x14ac:dyDescent="0.2">
      <c r="A110">
        <v>107</v>
      </c>
      <c r="B110" s="1" t="s">
        <v>102</v>
      </c>
      <c r="C110" s="1" t="s">
        <v>107</v>
      </c>
      <c r="D110" s="1" t="s">
        <v>112</v>
      </c>
      <c r="E110" s="1" t="s">
        <v>111</v>
      </c>
      <c r="F110" s="1" t="s">
        <v>106</v>
      </c>
      <c r="G110" s="1" t="s">
        <v>105</v>
      </c>
      <c r="H110" s="1" t="s">
        <v>108</v>
      </c>
      <c r="I110" s="1" t="s">
        <v>104</v>
      </c>
      <c r="J110">
        <f t="shared" si="4"/>
        <v>0</v>
      </c>
      <c r="K110">
        <f>COUNTIFS(Grunnspill!$A:$A,Annex!B110)</f>
        <v>0</v>
      </c>
      <c r="L110">
        <f>COUNTIFS(Grunnspill!$A:$A,Annex!C110)</f>
        <v>0</v>
      </c>
      <c r="M110">
        <f>COUNTIFS(Grunnspill!$A:$A,Annex!D110)</f>
        <v>0</v>
      </c>
      <c r="N110">
        <f>COUNTIFS(Grunnspill!$A:$A,Annex!E110)</f>
        <v>0</v>
      </c>
      <c r="O110">
        <f>COUNTIFS(Grunnspill!$A:$A,Annex!F110)</f>
        <v>0</v>
      </c>
      <c r="P110">
        <f>COUNTIFS(Grunnspill!$A:$A,Annex!G110)</f>
        <v>0</v>
      </c>
      <c r="Q110">
        <f>COUNTIFS(Grunnspill!$A:$A,Annex!H110)</f>
        <v>0</v>
      </c>
      <c r="R110">
        <f>COUNTIFS(Grunnspill!$A:$A,Annex!I110)</f>
        <v>0</v>
      </c>
    </row>
    <row r="111" spans="1:18" x14ac:dyDescent="0.2">
      <c r="A111">
        <v>108</v>
      </c>
      <c r="B111" s="1" t="s">
        <v>102</v>
      </c>
      <c r="C111" s="1" t="s">
        <v>107</v>
      </c>
      <c r="D111" s="1" t="s">
        <v>112</v>
      </c>
      <c r="E111" s="1" t="s">
        <v>111</v>
      </c>
      <c r="F111" s="1" t="s">
        <v>106</v>
      </c>
      <c r="G111" s="1" t="s">
        <v>105</v>
      </c>
      <c r="H111" s="1" t="s">
        <v>104</v>
      </c>
      <c r="I111" s="1" t="s">
        <v>109</v>
      </c>
      <c r="J111">
        <f t="shared" si="4"/>
        <v>0</v>
      </c>
      <c r="K111">
        <f>COUNTIFS(Grunnspill!$A:$A,Annex!B111)</f>
        <v>0</v>
      </c>
      <c r="L111">
        <f>COUNTIFS(Grunnspill!$A:$A,Annex!C111)</f>
        <v>0</v>
      </c>
      <c r="M111">
        <f>COUNTIFS(Grunnspill!$A:$A,Annex!D111)</f>
        <v>0</v>
      </c>
      <c r="N111">
        <f>COUNTIFS(Grunnspill!$A:$A,Annex!E111)</f>
        <v>0</v>
      </c>
      <c r="O111">
        <f>COUNTIFS(Grunnspill!$A:$A,Annex!F111)</f>
        <v>0</v>
      </c>
      <c r="P111">
        <f>COUNTIFS(Grunnspill!$A:$A,Annex!G111)</f>
        <v>0</v>
      </c>
      <c r="Q111">
        <f>COUNTIFS(Grunnspill!$A:$A,Annex!H111)</f>
        <v>0</v>
      </c>
      <c r="R111">
        <f>COUNTIFS(Grunnspill!$A:$A,Annex!I111)</f>
        <v>0</v>
      </c>
    </row>
    <row r="112" spans="1:18" x14ac:dyDescent="0.2">
      <c r="A112">
        <v>109</v>
      </c>
      <c r="B112" s="1" t="s">
        <v>106</v>
      </c>
      <c r="C112" s="1" t="s">
        <v>107</v>
      </c>
      <c r="D112" s="1" t="s">
        <v>112</v>
      </c>
      <c r="E112" s="1" t="s">
        <v>111</v>
      </c>
      <c r="F112" s="1" t="s">
        <v>103</v>
      </c>
      <c r="G112" s="1" t="s">
        <v>105</v>
      </c>
      <c r="H112" s="1" t="s">
        <v>102</v>
      </c>
      <c r="I112" s="1" t="s">
        <v>104</v>
      </c>
      <c r="J112">
        <f t="shared" si="4"/>
        <v>0</v>
      </c>
      <c r="K112">
        <f>COUNTIFS(Grunnspill!$A:$A,Annex!B112)</f>
        <v>0</v>
      </c>
      <c r="L112">
        <f>COUNTIFS(Grunnspill!$A:$A,Annex!C112)</f>
        <v>0</v>
      </c>
      <c r="M112">
        <f>COUNTIFS(Grunnspill!$A:$A,Annex!D112)</f>
        <v>0</v>
      </c>
      <c r="N112">
        <f>COUNTIFS(Grunnspill!$A:$A,Annex!E112)</f>
        <v>0</v>
      </c>
      <c r="O112">
        <f>COUNTIFS(Grunnspill!$A:$A,Annex!F112)</f>
        <v>0</v>
      </c>
      <c r="P112">
        <f>COUNTIFS(Grunnspill!$A:$A,Annex!G112)</f>
        <v>0</v>
      </c>
      <c r="Q112">
        <f>COUNTIFS(Grunnspill!$A:$A,Annex!H112)</f>
        <v>0</v>
      </c>
      <c r="R112">
        <f>COUNTIFS(Grunnspill!$A:$A,Annex!I112)</f>
        <v>0</v>
      </c>
    </row>
    <row r="113" spans="1:18" x14ac:dyDescent="0.2">
      <c r="A113">
        <v>110</v>
      </c>
      <c r="B113" s="1" t="s">
        <v>106</v>
      </c>
      <c r="C113" s="1" t="s">
        <v>103</v>
      </c>
      <c r="D113" s="1" t="s">
        <v>112</v>
      </c>
      <c r="E113" s="1" t="s">
        <v>111</v>
      </c>
      <c r="F113" s="1" t="s">
        <v>104</v>
      </c>
      <c r="G113" s="1" t="s">
        <v>110</v>
      </c>
      <c r="H113" s="1" t="s">
        <v>108</v>
      </c>
      <c r="I113" s="1" t="s">
        <v>109</v>
      </c>
      <c r="J113">
        <f t="shared" si="4"/>
        <v>0</v>
      </c>
      <c r="K113">
        <f>COUNTIFS(Grunnspill!$A:$A,Annex!B113)</f>
        <v>0</v>
      </c>
      <c r="L113">
        <f>COUNTIFS(Grunnspill!$A:$A,Annex!C113)</f>
        <v>0</v>
      </c>
      <c r="M113">
        <f>COUNTIFS(Grunnspill!$A:$A,Annex!D113)</f>
        <v>0</v>
      </c>
      <c r="N113">
        <f>COUNTIFS(Grunnspill!$A:$A,Annex!E113)</f>
        <v>0</v>
      </c>
      <c r="O113">
        <f>COUNTIFS(Grunnspill!$A:$A,Annex!F113)</f>
        <v>0</v>
      </c>
      <c r="P113">
        <f>COUNTIFS(Grunnspill!$A:$A,Annex!G113)</f>
        <v>0</v>
      </c>
      <c r="Q113">
        <f>COUNTIFS(Grunnspill!$A:$A,Annex!H113)</f>
        <v>0</v>
      </c>
      <c r="R113">
        <f>COUNTIFS(Grunnspill!$A:$A,Annex!I113)</f>
        <v>0</v>
      </c>
    </row>
    <row r="114" spans="1:18" x14ac:dyDescent="0.2">
      <c r="A114">
        <v>111</v>
      </c>
      <c r="B114" s="1" t="s">
        <v>104</v>
      </c>
      <c r="C114" s="1" t="s">
        <v>107</v>
      </c>
      <c r="D114" s="1" t="s">
        <v>112</v>
      </c>
      <c r="E114" s="1" t="s">
        <v>111</v>
      </c>
      <c r="F114" s="1" t="s">
        <v>103</v>
      </c>
      <c r="G114" s="1" t="s">
        <v>110</v>
      </c>
      <c r="H114" s="1" t="s">
        <v>108</v>
      </c>
      <c r="I114" s="1" t="s">
        <v>109</v>
      </c>
      <c r="J114">
        <f t="shared" si="4"/>
        <v>0</v>
      </c>
      <c r="K114">
        <f>COUNTIFS(Grunnspill!$A:$A,Annex!B114)</f>
        <v>0</v>
      </c>
      <c r="L114">
        <f>COUNTIFS(Grunnspill!$A:$A,Annex!C114)</f>
        <v>0</v>
      </c>
      <c r="M114">
        <f>COUNTIFS(Grunnspill!$A:$A,Annex!D114)</f>
        <v>0</v>
      </c>
      <c r="N114">
        <f>COUNTIFS(Grunnspill!$A:$A,Annex!E114)</f>
        <v>0</v>
      </c>
      <c r="O114">
        <f>COUNTIFS(Grunnspill!$A:$A,Annex!F114)</f>
        <v>0</v>
      </c>
      <c r="P114">
        <f>COUNTIFS(Grunnspill!$A:$A,Annex!G114)</f>
        <v>0</v>
      </c>
      <c r="Q114">
        <f>COUNTIFS(Grunnspill!$A:$A,Annex!H114)</f>
        <v>0</v>
      </c>
      <c r="R114">
        <f>COUNTIFS(Grunnspill!$A:$A,Annex!I114)</f>
        <v>0</v>
      </c>
    </row>
    <row r="115" spans="1:18" x14ac:dyDescent="0.2">
      <c r="A115">
        <v>112</v>
      </c>
      <c r="B115" s="1" t="s">
        <v>106</v>
      </c>
      <c r="C115" s="1" t="s">
        <v>107</v>
      </c>
      <c r="D115" s="1" t="s">
        <v>112</v>
      </c>
      <c r="E115" s="1" t="s">
        <v>111</v>
      </c>
      <c r="F115" s="1" t="s">
        <v>103</v>
      </c>
      <c r="G115" s="1" t="s">
        <v>110</v>
      </c>
      <c r="H115" s="1" t="s">
        <v>108</v>
      </c>
      <c r="I115" s="1" t="s">
        <v>109</v>
      </c>
      <c r="J115">
        <f t="shared" si="4"/>
        <v>0</v>
      </c>
      <c r="K115">
        <f>COUNTIFS(Grunnspill!$A:$A,Annex!B115)</f>
        <v>0</v>
      </c>
      <c r="L115">
        <f>COUNTIFS(Grunnspill!$A:$A,Annex!C115)</f>
        <v>0</v>
      </c>
      <c r="M115">
        <f>COUNTIFS(Grunnspill!$A:$A,Annex!D115)</f>
        <v>0</v>
      </c>
      <c r="N115">
        <f>COUNTIFS(Grunnspill!$A:$A,Annex!E115)</f>
        <v>0</v>
      </c>
      <c r="O115">
        <f>COUNTIFS(Grunnspill!$A:$A,Annex!F115)</f>
        <v>0</v>
      </c>
      <c r="P115">
        <f>COUNTIFS(Grunnspill!$A:$A,Annex!G115)</f>
        <v>0</v>
      </c>
      <c r="Q115">
        <f>COUNTIFS(Grunnspill!$A:$A,Annex!H115)</f>
        <v>0</v>
      </c>
      <c r="R115">
        <f>COUNTIFS(Grunnspill!$A:$A,Annex!I115)</f>
        <v>0</v>
      </c>
    </row>
    <row r="116" spans="1:18" x14ac:dyDescent="0.2">
      <c r="A116">
        <v>113</v>
      </c>
      <c r="B116" s="1" t="s">
        <v>106</v>
      </c>
      <c r="C116" s="1" t="s">
        <v>107</v>
      </c>
      <c r="D116" s="1" t="s">
        <v>112</v>
      </c>
      <c r="E116" s="1" t="s">
        <v>111</v>
      </c>
      <c r="F116" s="1" t="s">
        <v>104</v>
      </c>
      <c r="G116" s="1" t="s">
        <v>110</v>
      </c>
      <c r="H116" s="1" t="s">
        <v>108</v>
      </c>
      <c r="I116" s="1" t="s">
        <v>109</v>
      </c>
      <c r="J116">
        <f t="shared" si="4"/>
        <v>0</v>
      </c>
      <c r="K116">
        <f>COUNTIFS(Grunnspill!$A:$A,Annex!B116)</f>
        <v>0</v>
      </c>
      <c r="L116">
        <f>COUNTIFS(Grunnspill!$A:$A,Annex!C116)</f>
        <v>0</v>
      </c>
      <c r="M116">
        <f>COUNTIFS(Grunnspill!$A:$A,Annex!D116)</f>
        <v>0</v>
      </c>
      <c r="N116">
        <f>COUNTIFS(Grunnspill!$A:$A,Annex!E116)</f>
        <v>0</v>
      </c>
      <c r="O116">
        <f>COUNTIFS(Grunnspill!$A:$A,Annex!F116)</f>
        <v>0</v>
      </c>
      <c r="P116">
        <f>COUNTIFS(Grunnspill!$A:$A,Annex!G116)</f>
        <v>0</v>
      </c>
      <c r="Q116">
        <f>COUNTIFS(Grunnspill!$A:$A,Annex!H116)</f>
        <v>0</v>
      </c>
      <c r="R116">
        <f>COUNTIFS(Grunnspill!$A:$A,Annex!I116)</f>
        <v>0</v>
      </c>
    </row>
    <row r="117" spans="1:18" x14ac:dyDescent="0.2">
      <c r="A117">
        <v>114</v>
      </c>
      <c r="B117" s="1" t="s">
        <v>106</v>
      </c>
      <c r="C117" s="1" t="s">
        <v>107</v>
      </c>
      <c r="D117" s="1" t="s">
        <v>112</v>
      </c>
      <c r="E117" s="1" t="s">
        <v>111</v>
      </c>
      <c r="F117" s="1" t="s">
        <v>103</v>
      </c>
      <c r="G117" s="1" t="s">
        <v>110</v>
      </c>
      <c r="H117" s="1" t="s">
        <v>108</v>
      </c>
      <c r="I117" s="1" t="s">
        <v>104</v>
      </c>
      <c r="J117">
        <f t="shared" si="4"/>
        <v>0</v>
      </c>
      <c r="K117">
        <f>COUNTIFS(Grunnspill!$A:$A,Annex!B117)</f>
        <v>0</v>
      </c>
      <c r="L117">
        <f>COUNTIFS(Grunnspill!$A:$A,Annex!C117)</f>
        <v>0</v>
      </c>
      <c r="M117">
        <f>COUNTIFS(Grunnspill!$A:$A,Annex!D117)</f>
        <v>0</v>
      </c>
      <c r="N117">
        <f>COUNTIFS(Grunnspill!$A:$A,Annex!E117)</f>
        <v>0</v>
      </c>
      <c r="O117">
        <f>COUNTIFS(Grunnspill!$A:$A,Annex!F117)</f>
        <v>0</v>
      </c>
      <c r="P117">
        <f>COUNTIFS(Grunnspill!$A:$A,Annex!G117)</f>
        <v>0</v>
      </c>
      <c r="Q117">
        <f>COUNTIFS(Grunnspill!$A:$A,Annex!H117)</f>
        <v>0</v>
      </c>
      <c r="R117">
        <f>COUNTIFS(Grunnspill!$A:$A,Annex!I117)</f>
        <v>0</v>
      </c>
    </row>
    <row r="118" spans="1:18" x14ac:dyDescent="0.2">
      <c r="A118">
        <v>115</v>
      </c>
      <c r="B118" s="1" t="s">
        <v>106</v>
      </c>
      <c r="C118" s="1" t="s">
        <v>107</v>
      </c>
      <c r="D118" s="1" t="s">
        <v>112</v>
      </c>
      <c r="E118" s="1" t="s">
        <v>111</v>
      </c>
      <c r="F118" s="1" t="s">
        <v>103</v>
      </c>
      <c r="G118" s="1" t="s">
        <v>110</v>
      </c>
      <c r="H118" s="1" t="s">
        <v>104</v>
      </c>
      <c r="I118" s="1" t="s">
        <v>109</v>
      </c>
      <c r="J118">
        <f t="shared" si="4"/>
        <v>0</v>
      </c>
      <c r="K118">
        <f>COUNTIFS(Grunnspill!$A:$A,Annex!B118)</f>
        <v>0</v>
      </c>
      <c r="L118">
        <f>COUNTIFS(Grunnspill!$A:$A,Annex!C118)</f>
        <v>0</v>
      </c>
      <c r="M118">
        <f>COUNTIFS(Grunnspill!$A:$A,Annex!D118)</f>
        <v>0</v>
      </c>
      <c r="N118">
        <f>COUNTIFS(Grunnspill!$A:$A,Annex!E118)</f>
        <v>0</v>
      </c>
      <c r="O118">
        <f>COUNTIFS(Grunnspill!$A:$A,Annex!F118)</f>
        <v>0</v>
      </c>
      <c r="P118">
        <f>COUNTIFS(Grunnspill!$A:$A,Annex!G118)</f>
        <v>0</v>
      </c>
      <c r="Q118">
        <f>COUNTIFS(Grunnspill!$A:$A,Annex!H118)</f>
        <v>0</v>
      </c>
      <c r="R118">
        <f>COUNTIFS(Grunnspill!$A:$A,Annex!I118)</f>
        <v>0</v>
      </c>
    </row>
    <row r="119" spans="1:18" x14ac:dyDescent="0.2">
      <c r="A119">
        <v>116</v>
      </c>
      <c r="B119" s="1" t="s">
        <v>111</v>
      </c>
      <c r="C119" s="1" t="s">
        <v>103</v>
      </c>
      <c r="D119" s="1" t="s">
        <v>112</v>
      </c>
      <c r="E119" s="1" t="s">
        <v>110</v>
      </c>
      <c r="F119" s="1" t="s">
        <v>104</v>
      </c>
      <c r="G119" s="1" t="s">
        <v>105</v>
      </c>
      <c r="H119" s="1" t="s">
        <v>108</v>
      </c>
      <c r="I119" s="1" t="s">
        <v>109</v>
      </c>
      <c r="J119">
        <f t="shared" si="4"/>
        <v>0</v>
      </c>
      <c r="K119">
        <f>COUNTIFS(Grunnspill!$A:$A,Annex!B119)</f>
        <v>0</v>
      </c>
      <c r="L119">
        <f>COUNTIFS(Grunnspill!$A:$A,Annex!C119)</f>
        <v>0</v>
      </c>
      <c r="M119">
        <f>COUNTIFS(Grunnspill!$A:$A,Annex!D119)</f>
        <v>0</v>
      </c>
      <c r="N119">
        <f>COUNTIFS(Grunnspill!$A:$A,Annex!E119)</f>
        <v>0</v>
      </c>
      <c r="O119">
        <f>COUNTIFS(Grunnspill!$A:$A,Annex!F119)</f>
        <v>0</v>
      </c>
      <c r="P119">
        <f>COUNTIFS(Grunnspill!$A:$A,Annex!G119)</f>
        <v>0</v>
      </c>
      <c r="Q119">
        <f>COUNTIFS(Grunnspill!$A:$A,Annex!H119)</f>
        <v>0</v>
      </c>
      <c r="R119">
        <f>COUNTIFS(Grunnspill!$A:$A,Annex!I119)</f>
        <v>0</v>
      </c>
    </row>
    <row r="120" spans="1:18" x14ac:dyDescent="0.2">
      <c r="A120">
        <v>117</v>
      </c>
      <c r="B120" s="1" t="s">
        <v>111</v>
      </c>
      <c r="C120" s="1" t="s">
        <v>103</v>
      </c>
      <c r="D120" s="1" t="s">
        <v>112</v>
      </c>
      <c r="E120" s="1" t="s">
        <v>110</v>
      </c>
      <c r="F120" s="1" t="s">
        <v>106</v>
      </c>
      <c r="G120" s="1" t="s">
        <v>105</v>
      </c>
      <c r="H120" s="1" t="s">
        <v>108</v>
      </c>
      <c r="I120" s="1" t="s">
        <v>109</v>
      </c>
      <c r="J120">
        <f t="shared" si="4"/>
        <v>0</v>
      </c>
      <c r="K120">
        <f>COUNTIFS(Grunnspill!$A:$A,Annex!B120)</f>
        <v>0</v>
      </c>
      <c r="L120">
        <f>COUNTIFS(Grunnspill!$A:$A,Annex!C120)</f>
        <v>0</v>
      </c>
      <c r="M120">
        <f>COUNTIFS(Grunnspill!$A:$A,Annex!D120)</f>
        <v>0</v>
      </c>
      <c r="N120">
        <f>COUNTIFS(Grunnspill!$A:$A,Annex!E120)</f>
        <v>0</v>
      </c>
      <c r="O120">
        <f>COUNTIFS(Grunnspill!$A:$A,Annex!F120)</f>
        <v>0</v>
      </c>
      <c r="P120">
        <f>COUNTIFS(Grunnspill!$A:$A,Annex!G120)</f>
        <v>0</v>
      </c>
      <c r="Q120">
        <f>COUNTIFS(Grunnspill!$A:$A,Annex!H120)</f>
        <v>0</v>
      </c>
      <c r="R120">
        <f>COUNTIFS(Grunnspill!$A:$A,Annex!I120)</f>
        <v>0</v>
      </c>
    </row>
    <row r="121" spans="1:18" x14ac:dyDescent="0.2">
      <c r="A121">
        <v>118</v>
      </c>
      <c r="B121" s="1" t="s">
        <v>111</v>
      </c>
      <c r="C121" s="1" t="s">
        <v>104</v>
      </c>
      <c r="D121" s="1" t="s">
        <v>112</v>
      </c>
      <c r="E121" s="1" t="s">
        <v>110</v>
      </c>
      <c r="F121" s="1" t="s">
        <v>106</v>
      </c>
      <c r="G121" s="1" t="s">
        <v>105</v>
      </c>
      <c r="H121" s="1" t="s">
        <v>108</v>
      </c>
      <c r="I121" s="1" t="s">
        <v>109</v>
      </c>
      <c r="J121">
        <f t="shared" si="4"/>
        <v>0</v>
      </c>
      <c r="K121">
        <f>COUNTIFS(Grunnspill!$A:$A,Annex!B121)</f>
        <v>0</v>
      </c>
      <c r="L121">
        <f>COUNTIFS(Grunnspill!$A:$A,Annex!C121)</f>
        <v>0</v>
      </c>
      <c r="M121">
        <f>COUNTIFS(Grunnspill!$A:$A,Annex!D121)</f>
        <v>0</v>
      </c>
      <c r="N121">
        <f>COUNTIFS(Grunnspill!$A:$A,Annex!E121)</f>
        <v>0</v>
      </c>
      <c r="O121">
        <f>COUNTIFS(Grunnspill!$A:$A,Annex!F121)</f>
        <v>0</v>
      </c>
      <c r="P121">
        <f>COUNTIFS(Grunnspill!$A:$A,Annex!G121)</f>
        <v>0</v>
      </c>
      <c r="Q121">
        <f>COUNTIFS(Grunnspill!$A:$A,Annex!H121)</f>
        <v>0</v>
      </c>
      <c r="R121">
        <f>COUNTIFS(Grunnspill!$A:$A,Annex!I121)</f>
        <v>0</v>
      </c>
    </row>
    <row r="122" spans="1:18" x14ac:dyDescent="0.2">
      <c r="A122">
        <v>119</v>
      </c>
      <c r="B122" s="1" t="s">
        <v>111</v>
      </c>
      <c r="C122" s="1" t="s">
        <v>103</v>
      </c>
      <c r="D122" s="1" t="s">
        <v>112</v>
      </c>
      <c r="E122" s="1" t="s">
        <v>110</v>
      </c>
      <c r="F122" s="1" t="s">
        <v>106</v>
      </c>
      <c r="G122" s="1" t="s">
        <v>105</v>
      </c>
      <c r="H122" s="1" t="s">
        <v>108</v>
      </c>
      <c r="I122" s="1" t="s">
        <v>104</v>
      </c>
      <c r="J122">
        <f t="shared" si="4"/>
        <v>0</v>
      </c>
      <c r="K122">
        <f>COUNTIFS(Grunnspill!$A:$A,Annex!B122)</f>
        <v>0</v>
      </c>
      <c r="L122">
        <f>COUNTIFS(Grunnspill!$A:$A,Annex!C122)</f>
        <v>0</v>
      </c>
      <c r="M122">
        <f>COUNTIFS(Grunnspill!$A:$A,Annex!D122)</f>
        <v>0</v>
      </c>
      <c r="N122">
        <f>COUNTIFS(Grunnspill!$A:$A,Annex!E122)</f>
        <v>0</v>
      </c>
      <c r="O122">
        <f>COUNTIFS(Grunnspill!$A:$A,Annex!F122)</f>
        <v>0</v>
      </c>
      <c r="P122">
        <f>COUNTIFS(Grunnspill!$A:$A,Annex!G122)</f>
        <v>0</v>
      </c>
      <c r="Q122">
        <f>COUNTIFS(Grunnspill!$A:$A,Annex!H122)</f>
        <v>0</v>
      </c>
      <c r="R122">
        <f>COUNTIFS(Grunnspill!$A:$A,Annex!I122)</f>
        <v>0</v>
      </c>
    </row>
    <row r="123" spans="1:18" x14ac:dyDescent="0.2">
      <c r="A123">
        <v>120</v>
      </c>
      <c r="B123" s="1" t="s">
        <v>111</v>
      </c>
      <c r="C123" s="1" t="s">
        <v>103</v>
      </c>
      <c r="D123" s="1" t="s">
        <v>112</v>
      </c>
      <c r="E123" s="1" t="s">
        <v>110</v>
      </c>
      <c r="F123" s="1" t="s">
        <v>106</v>
      </c>
      <c r="G123" s="1" t="s">
        <v>105</v>
      </c>
      <c r="H123" s="1" t="s">
        <v>104</v>
      </c>
      <c r="I123" s="1" t="s">
        <v>109</v>
      </c>
      <c r="J123">
        <f t="shared" si="4"/>
        <v>0</v>
      </c>
      <c r="K123">
        <f>COUNTIFS(Grunnspill!$A:$A,Annex!B123)</f>
        <v>0</v>
      </c>
      <c r="L123">
        <f>COUNTIFS(Grunnspill!$A:$A,Annex!C123)</f>
        <v>0</v>
      </c>
      <c r="M123">
        <f>COUNTIFS(Grunnspill!$A:$A,Annex!D123)</f>
        <v>0</v>
      </c>
      <c r="N123">
        <f>COUNTIFS(Grunnspill!$A:$A,Annex!E123)</f>
        <v>0</v>
      </c>
      <c r="O123">
        <f>COUNTIFS(Grunnspill!$A:$A,Annex!F123)</f>
        <v>0</v>
      </c>
      <c r="P123">
        <f>COUNTIFS(Grunnspill!$A:$A,Annex!G123)</f>
        <v>0</v>
      </c>
      <c r="Q123">
        <f>COUNTIFS(Grunnspill!$A:$A,Annex!H123)</f>
        <v>0</v>
      </c>
      <c r="R123">
        <f>COUNTIFS(Grunnspill!$A:$A,Annex!I123)</f>
        <v>0</v>
      </c>
    </row>
    <row r="124" spans="1:18" x14ac:dyDescent="0.2">
      <c r="A124">
        <v>121</v>
      </c>
      <c r="B124" s="1" t="s">
        <v>111</v>
      </c>
      <c r="C124" s="1" t="s">
        <v>107</v>
      </c>
      <c r="D124" s="1" t="s">
        <v>112</v>
      </c>
      <c r="E124" s="1" t="s">
        <v>110</v>
      </c>
      <c r="F124" s="1" t="s">
        <v>103</v>
      </c>
      <c r="G124" s="1" t="s">
        <v>105</v>
      </c>
      <c r="H124" s="1" t="s">
        <v>108</v>
      </c>
      <c r="I124" s="1" t="s">
        <v>109</v>
      </c>
      <c r="J124">
        <f t="shared" si="4"/>
        <v>0</v>
      </c>
      <c r="K124">
        <f>COUNTIFS(Grunnspill!$A:$A,Annex!B124)</f>
        <v>0</v>
      </c>
      <c r="L124">
        <f>COUNTIFS(Grunnspill!$A:$A,Annex!C124)</f>
        <v>0</v>
      </c>
      <c r="M124">
        <f>COUNTIFS(Grunnspill!$A:$A,Annex!D124)</f>
        <v>0</v>
      </c>
      <c r="N124">
        <f>COUNTIFS(Grunnspill!$A:$A,Annex!E124)</f>
        <v>0</v>
      </c>
      <c r="O124">
        <f>COUNTIFS(Grunnspill!$A:$A,Annex!F124)</f>
        <v>0</v>
      </c>
      <c r="P124">
        <f>COUNTIFS(Grunnspill!$A:$A,Annex!G124)</f>
        <v>0</v>
      </c>
      <c r="Q124">
        <f>COUNTIFS(Grunnspill!$A:$A,Annex!H124)</f>
        <v>0</v>
      </c>
      <c r="R124">
        <f>COUNTIFS(Grunnspill!$A:$A,Annex!I124)</f>
        <v>0</v>
      </c>
    </row>
    <row r="125" spans="1:18" x14ac:dyDescent="0.2">
      <c r="A125">
        <v>122</v>
      </c>
      <c r="B125" s="1" t="s">
        <v>111</v>
      </c>
      <c r="C125" s="1" t="s">
        <v>107</v>
      </c>
      <c r="D125" s="1" t="s">
        <v>112</v>
      </c>
      <c r="E125" s="1" t="s">
        <v>110</v>
      </c>
      <c r="F125" s="1" t="s">
        <v>104</v>
      </c>
      <c r="G125" s="1" t="s">
        <v>105</v>
      </c>
      <c r="H125" s="1" t="s">
        <v>108</v>
      </c>
      <c r="I125" s="1" t="s">
        <v>109</v>
      </c>
      <c r="J125">
        <f t="shared" si="4"/>
        <v>0</v>
      </c>
      <c r="K125">
        <f>COUNTIFS(Grunnspill!$A:$A,Annex!B125)</f>
        <v>0</v>
      </c>
      <c r="L125">
        <f>COUNTIFS(Grunnspill!$A:$A,Annex!C125)</f>
        <v>0</v>
      </c>
      <c r="M125">
        <f>COUNTIFS(Grunnspill!$A:$A,Annex!D125)</f>
        <v>0</v>
      </c>
      <c r="N125">
        <f>COUNTIFS(Grunnspill!$A:$A,Annex!E125)</f>
        <v>0</v>
      </c>
      <c r="O125">
        <f>COUNTIFS(Grunnspill!$A:$A,Annex!F125)</f>
        <v>0</v>
      </c>
      <c r="P125">
        <f>COUNTIFS(Grunnspill!$A:$A,Annex!G125)</f>
        <v>0</v>
      </c>
      <c r="Q125">
        <f>COUNTIFS(Grunnspill!$A:$A,Annex!H125)</f>
        <v>0</v>
      </c>
      <c r="R125">
        <f>COUNTIFS(Grunnspill!$A:$A,Annex!I125)</f>
        <v>0</v>
      </c>
    </row>
    <row r="126" spans="1:18" x14ac:dyDescent="0.2">
      <c r="A126">
        <v>123</v>
      </c>
      <c r="B126" s="1" t="s">
        <v>111</v>
      </c>
      <c r="C126" s="1" t="s">
        <v>107</v>
      </c>
      <c r="D126" s="1" t="s">
        <v>112</v>
      </c>
      <c r="E126" s="1" t="s">
        <v>110</v>
      </c>
      <c r="F126" s="1" t="s">
        <v>103</v>
      </c>
      <c r="G126" s="1" t="s">
        <v>105</v>
      </c>
      <c r="H126" s="1" t="s">
        <v>108</v>
      </c>
      <c r="I126" s="1" t="s">
        <v>104</v>
      </c>
      <c r="J126">
        <f t="shared" si="4"/>
        <v>0</v>
      </c>
      <c r="K126">
        <f>COUNTIFS(Grunnspill!$A:$A,Annex!B126)</f>
        <v>0</v>
      </c>
      <c r="L126">
        <f>COUNTIFS(Grunnspill!$A:$A,Annex!C126)</f>
        <v>0</v>
      </c>
      <c r="M126">
        <f>COUNTIFS(Grunnspill!$A:$A,Annex!D126)</f>
        <v>0</v>
      </c>
      <c r="N126">
        <f>COUNTIFS(Grunnspill!$A:$A,Annex!E126)</f>
        <v>0</v>
      </c>
      <c r="O126">
        <f>COUNTIFS(Grunnspill!$A:$A,Annex!F126)</f>
        <v>0</v>
      </c>
      <c r="P126">
        <f>COUNTIFS(Grunnspill!$A:$A,Annex!G126)</f>
        <v>0</v>
      </c>
      <c r="Q126">
        <f>COUNTIFS(Grunnspill!$A:$A,Annex!H126)</f>
        <v>0</v>
      </c>
      <c r="R126">
        <f>COUNTIFS(Grunnspill!$A:$A,Annex!I126)</f>
        <v>0</v>
      </c>
    </row>
    <row r="127" spans="1:18" x14ac:dyDescent="0.2">
      <c r="A127">
        <v>124</v>
      </c>
      <c r="B127" s="1" t="s">
        <v>111</v>
      </c>
      <c r="C127" s="1" t="s">
        <v>107</v>
      </c>
      <c r="D127" s="1" t="s">
        <v>112</v>
      </c>
      <c r="E127" s="1" t="s">
        <v>110</v>
      </c>
      <c r="F127" s="1" t="s">
        <v>103</v>
      </c>
      <c r="G127" s="1" t="s">
        <v>105</v>
      </c>
      <c r="H127" s="1" t="s">
        <v>104</v>
      </c>
      <c r="I127" s="1" t="s">
        <v>109</v>
      </c>
      <c r="J127">
        <f t="shared" si="4"/>
        <v>0</v>
      </c>
      <c r="K127">
        <f>COUNTIFS(Grunnspill!$A:$A,Annex!B127)</f>
        <v>0</v>
      </c>
      <c r="L127">
        <f>COUNTIFS(Grunnspill!$A:$A,Annex!C127)</f>
        <v>0</v>
      </c>
      <c r="M127">
        <f>COUNTIFS(Grunnspill!$A:$A,Annex!D127)</f>
        <v>0</v>
      </c>
      <c r="N127">
        <f>COUNTIFS(Grunnspill!$A:$A,Annex!E127)</f>
        <v>0</v>
      </c>
      <c r="O127">
        <f>COUNTIFS(Grunnspill!$A:$A,Annex!F127)</f>
        <v>0</v>
      </c>
      <c r="P127">
        <f>COUNTIFS(Grunnspill!$A:$A,Annex!G127)</f>
        <v>0</v>
      </c>
      <c r="Q127">
        <f>COUNTIFS(Grunnspill!$A:$A,Annex!H127)</f>
        <v>0</v>
      </c>
      <c r="R127">
        <f>COUNTIFS(Grunnspill!$A:$A,Annex!I127)</f>
        <v>0</v>
      </c>
    </row>
    <row r="128" spans="1:18" x14ac:dyDescent="0.2">
      <c r="A128">
        <v>125</v>
      </c>
      <c r="B128" s="1" t="s">
        <v>111</v>
      </c>
      <c r="C128" s="1" t="s">
        <v>107</v>
      </c>
      <c r="D128" s="1" t="s">
        <v>112</v>
      </c>
      <c r="E128" s="1" t="s">
        <v>110</v>
      </c>
      <c r="F128" s="1" t="s">
        <v>106</v>
      </c>
      <c r="G128" s="1" t="s">
        <v>105</v>
      </c>
      <c r="H128" s="1" t="s">
        <v>108</v>
      </c>
      <c r="I128" s="1" t="s">
        <v>109</v>
      </c>
      <c r="J128">
        <f t="shared" si="4"/>
        <v>0</v>
      </c>
      <c r="K128">
        <f>COUNTIFS(Grunnspill!$A:$A,Annex!B128)</f>
        <v>0</v>
      </c>
      <c r="L128">
        <f>COUNTIFS(Grunnspill!$A:$A,Annex!C128)</f>
        <v>0</v>
      </c>
      <c r="M128">
        <f>COUNTIFS(Grunnspill!$A:$A,Annex!D128)</f>
        <v>0</v>
      </c>
      <c r="N128">
        <f>COUNTIFS(Grunnspill!$A:$A,Annex!E128)</f>
        <v>0</v>
      </c>
      <c r="O128">
        <f>COUNTIFS(Grunnspill!$A:$A,Annex!F128)</f>
        <v>0</v>
      </c>
      <c r="P128">
        <f>COUNTIFS(Grunnspill!$A:$A,Annex!G128)</f>
        <v>0</v>
      </c>
      <c r="Q128">
        <f>COUNTIFS(Grunnspill!$A:$A,Annex!H128)</f>
        <v>0</v>
      </c>
      <c r="R128">
        <f>COUNTIFS(Grunnspill!$A:$A,Annex!I128)</f>
        <v>0</v>
      </c>
    </row>
    <row r="129" spans="1:18" x14ac:dyDescent="0.2">
      <c r="A129">
        <v>126</v>
      </c>
      <c r="B129" s="1" t="s">
        <v>111</v>
      </c>
      <c r="C129" s="1" t="s">
        <v>107</v>
      </c>
      <c r="D129" s="1" t="s">
        <v>112</v>
      </c>
      <c r="E129" s="1" t="s">
        <v>110</v>
      </c>
      <c r="F129" s="1" t="s">
        <v>106</v>
      </c>
      <c r="G129" s="1" t="s">
        <v>105</v>
      </c>
      <c r="H129" s="1" t="s">
        <v>108</v>
      </c>
      <c r="I129" s="1" t="s">
        <v>103</v>
      </c>
      <c r="J129">
        <f t="shared" si="4"/>
        <v>0</v>
      </c>
      <c r="K129">
        <f>COUNTIFS(Grunnspill!$A:$A,Annex!B129)</f>
        <v>0</v>
      </c>
      <c r="L129">
        <f>COUNTIFS(Grunnspill!$A:$A,Annex!C129)</f>
        <v>0</v>
      </c>
      <c r="M129">
        <f>COUNTIFS(Grunnspill!$A:$A,Annex!D129)</f>
        <v>0</v>
      </c>
      <c r="N129">
        <f>COUNTIFS(Grunnspill!$A:$A,Annex!E129)</f>
        <v>0</v>
      </c>
      <c r="O129">
        <f>COUNTIFS(Grunnspill!$A:$A,Annex!F129)</f>
        <v>0</v>
      </c>
      <c r="P129">
        <f>COUNTIFS(Grunnspill!$A:$A,Annex!G129)</f>
        <v>0</v>
      </c>
      <c r="Q129">
        <f>COUNTIFS(Grunnspill!$A:$A,Annex!H129)</f>
        <v>0</v>
      </c>
      <c r="R129">
        <f>COUNTIFS(Grunnspill!$A:$A,Annex!I129)</f>
        <v>0</v>
      </c>
    </row>
    <row r="130" spans="1:18" x14ac:dyDescent="0.2">
      <c r="A130">
        <v>127</v>
      </c>
      <c r="B130" s="1" t="s">
        <v>106</v>
      </c>
      <c r="C130" s="1" t="s">
        <v>107</v>
      </c>
      <c r="D130" s="1" t="s">
        <v>112</v>
      </c>
      <c r="E130" s="1" t="s">
        <v>111</v>
      </c>
      <c r="F130" s="1" t="s">
        <v>103</v>
      </c>
      <c r="G130" s="1" t="s">
        <v>105</v>
      </c>
      <c r="H130" s="1" t="s">
        <v>110</v>
      </c>
      <c r="I130" s="1" t="s">
        <v>109</v>
      </c>
      <c r="J130">
        <f t="shared" si="4"/>
        <v>0</v>
      </c>
      <c r="K130">
        <f>COUNTIFS(Grunnspill!$A:$A,Annex!B130)</f>
        <v>0</v>
      </c>
      <c r="L130">
        <f>COUNTIFS(Grunnspill!$A:$A,Annex!C130)</f>
        <v>0</v>
      </c>
      <c r="M130">
        <f>COUNTIFS(Grunnspill!$A:$A,Annex!D130)</f>
        <v>0</v>
      </c>
      <c r="N130">
        <f>COUNTIFS(Grunnspill!$A:$A,Annex!E130)</f>
        <v>0</v>
      </c>
      <c r="O130">
        <f>COUNTIFS(Grunnspill!$A:$A,Annex!F130)</f>
        <v>0</v>
      </c>
      <c r="P130">
        <f>COUNTIFS(Grunnspill!$A:$A,Annex!G130)</f>
        <v>0</v>
      </c>
      <c r="Q130">
        <f>COUNTIFS(Grunnspill!$A:$A,Annex!H130)</f>
        <v>0</v>
      </c>
      <c r="R130">
        <f>COUNTIFS(Grunnspill!$A:$A,Annex!I130)</f>
        <v>0</v>
      </c>
    </row>
    <row r="131" spans="1:18" x14ac:dyDescent="0.2">
      <c r="A131">
        <v>128</v>
      </c>
      <c r="B131" s="1" t="s">
        <v>111</v>
      </c>
      <c r="C131" s="1" t="s">
        <v>107</v>
      </c>
      <c r="D131" s="1" t="s">
        <v>112</v>
      </c>
      <c r="E131" s="1" t="s">
        <v>110</v>
      </c>
      <c r="F131" s="1" t="s">
        <v>106</v>
      </c>
      <c r="G131" s="1" t="s">
        <v>105</v>
      </c>
      <c r="H131" s="1" t="s">
        <v>108</v>
      </c>
      <c r="I131" s="1" t="s">
        <v>104</v>
      </c>
      <c r="J131">
        <f t="shared" si="4"/>
        <v>0</v>
      </c>
      <c r="K131">
        <f>COUNTIFS(Grunnspill!$A:$A,Annex!B131)</f>
        <v>0</v>
      </c>
      <c r="L131">
        <f>COUNTIFS(Grunnspill!$A:$A,Annex!C131)</f>
        <v>0</v>
      </c>
      <c r="M131">
        <f>COUNTIFS(Grunnspill!$A:$A,Annex!D131)</f>
        <v>0</v>
      </c>
      <c r="N131">
        <f>COUNTIFS(Grunnspill!$A:$A,Annex!E131)</f>
        <v>0</v>
      </c>
      <c r="O131">
        <f>COUNTIFS(Grunnspill!$A:$A,Annex!F131)</f>
        <v>0</v>
      </c>
      <c r="P131">
        <f>COUNTIFS(Grunnspill!$A:$A,Annex!G131)</f>
        <v>0</v>
      </c>
      <c r="Q131">
        <f>COUNTIFS(Grunnspill!$A:$A,Annex!H131)</f>
        <v>0</v>
      </c>
      <c r="R131">
        <f>COUNTIFS(Grunnspill!$A:$A,Annex!I131)</f>
        <v>0</v>
      </c>
    </row>
    <row r="132" spans="1:18" x14ac:dyDescent="0.2">
      <c r="A132">
        <v>129</v>
      </c>
      <c r="B132" s="1" t="s">
        <v>111</v>
      </c>
      <c r="C132" s="1" t="s">
        <v>107</v>
      </c>
      <c r="D132" s="1" t="s">
        <v>112</v>
      </c>
      <c r="E132" s="1" t="s">
        <v>110</v>
      </c>
      <c r="F132" s="1" t="s">
        <v>106</v>
      </c>
      <c r="G132" s="1" t="s">
        <v>105</v>
      </c>
      <c r="H132" s="1" t="s">
        <v>104</v>
      </c>
      <c r="I132" s="1" t="s">
        <v>109</v>
      </c>
      <c r="J132">
        <f t="shared" si="4"/>
        <v>0</v>
      </c>
      <c r="K132">
        <f>COUNTIFS(Grunnspill!$A:$A,Annex!B132)</f>
        <v>0</v>
      </c>
      <c r="L132">
        <f>COUNTIFS(Grunnspill!$A:$A,Annex!C132)</f>
        <v>0</v>
      </c>
      <c r="M132">
        <f>COUNTIFS(Grunnspill!$A:$A,Annex!D132)</f>
        <v>0</v>
      </c>
      <c r="N132">
        <f>COUNTIFS(Grunnspill!$A:$A,Annex!E132)</f>
        <v>0</v>
      </c>
      <c r="O132">
        <f>COUNTIFS(Grunnspill!$A:$A,Annex!F132)</f>
        <v>0</v>
      </c>
      <c r="P132">
        <f>COUNTIFS(Grunnspill!$A:$A,Annex!G132)</f>
        <v>0</v>
      </c>
      <c r="Q132">
        <f>COUNTIFS(Grunnspill!$A:$A,Annex!H132)</f>
        <v>0</v>
      </c>
      <c r="R132">
        <f>COUNTIFS(Grunnspill!$A:$A,Annex!I132)</f>
        <v>0</v>
      </c>
    </row>
    <row r="133" spans="1:18" x14ac:dyDescent="0.2">
      <c r="A133">
        <v>130</v>
      </c>
      <c r="B133" s="1" t="s">
        <v>106</v>
      </c>
      <c r="C133" s="1" t="s">
        <v>107</v>
      </c>
      <c r="D133" s="1" t="s">
        <v>112</v>
      </c>
      <c r="E133" s="1" t="s">
        <v>111</v>
      </c>
      <c r="F133" s="1" t="s">
        <v>103</v>
      </c>
      <c r="G133" s="1" t="s">
        <v>105</v>
      </c>
      <c r="H133" s="1" t="s">
        <v>110</v>
      </c>
      <c r="I133" s="1" t="s">
        <v>104</v>
      </c>
      <c r="J133">
        <f t="shared" si="4"/>
        <v>0</v>
      </c>
      <c r="K133">
        <f>COUNTIFS(Grunnspill!$A:$A,Annex!B133)</f>
        <v>0</v>
      </c>
      <c r="L133">
        <f>COUNTIFS(Grunnspill!$A:$A,Annex!C133)</f>
        <v>0</v>
      </c>
      <c r="M133">
        <f>COUNTIFS(Grunnspill!$A:$A,Annex!D133)</f>
        <v>0</v>
      </c>
      <c r="N133">
        <f>COUNTIFS(Grunnspill!$A:$A,Annex!E133)</f>
        <v>0</v>
      </c>
      <c r="O133">
        <f>COUNTIFS(Grunnspill!$A:$A,Annex!F133)</f>
        <v>0</v>
      </c>
      <c r="P133">
        <f>COUNTIFS(Grunnspill!$A:$A,Annex!G133)</f>
        <v>0</v>
      </c>
      <c r="Q133">
        <f>COUNTIFS(Grunnspill!$A:$A,Annex!H133)</f>
        <v>0</v>
      </c>
      <c r="R133">
        <f>COUNTIFS(Grunnspill!$A:$A,Annex!I133)</f>
        <v>0</v>
      </c>
    </row>
    <row r="134" spans="1:18" x14ac:dyDescent="0.2">
      <c r="A134">
        <v>131</v>
      </c>
      <c r="B134" s="1" t="s">
        <v>102</v>
      </c>
      <c r="C134" s="1" t="s">
        <v>103</v>
      </c>
      <c r="D134" s="1" t="s">
        <v>112</v>
      </c>
      <c r="E134" s="1" t="s">
        <v>111</v>
      </c>
      <c r="F134" s="1" t="s">
        <v>104</v>
      </c>
      <c r="G134" s="1" t="s">
        <v>110</v>
      </c>
      <c r="H134" s="1" t="s">
        <v>108</v>
      </c>
      <c r="I134" s="1" t="s">
        <v>109</v>
      </c>
      <c r="J134">
        <f t="shared" si="4"/>
        <v>0</v>
      </c>
      <c r="K134">
        <f>COUNTIFS(Grunnspill!$A:$A,Annex!B134)</f>
        <v>0</v>
      </c>
      <c r="L134">
        <f>COUNTIFS(Grunnspill!$A:$A,Annex!C134)</f>
        <v>0</v>
      </c>
      <c r="M134">
        <f>COUNTIFS(Grunnspill!$A:$A,Annex!D134)</f>
        <v>0</v>
      </c>
      <c r="N134">
        <f>COUNTIFS(Grunnspill!$A:$A,Annex!E134)</f>
        <v>0</v>
      </c>
      <c r="O134">
        <f>COUNTIFS(Grunnspill!$A:$A,Annex!F134)</f>
        <v>0</v>
      </c>
      <c r="P134">
        <f>COUNTIFS(Grunnspill!$A:$A,Annex!G134)</f>
        <v>0</v>
      </c>
      <c r="Q134">
        <f>COUNTIFS(Grunnspill!$A:$A,Annex!H134)</f>
        <v>0</v>
      </c>
      <c r="R134">
        <f>COUNTIFS(Grunnspill!$A:$A,Annex!I134)</f>
        <v>0</v>
      </c>
    </row>
    <row r="135" spans="1:18" x14ac:dyDescent="0.2">
      <c r="A135">
        <v>132</v>
      </c>
      <c r="B135" s="1" t="s">
        <v>102</v>
      </c>
      <c r="C135" s="1" t="s">
        <v>103</v>
      </c>
      <c r="D135" s="1" t="s">
        <v>112</v>
      </c>
      <c r="E135" s="1" t="s">
        <v>111</v>
      </c>
      <c r="F135" s="1" t="s">
        <v>106</v>
      </c>
      <c r="G135" s="1" t="s">
        <v>110</v>
      </c>
      <c r="H135" s="1" t="s">
        <v>108</v>
      </c>
      <c r="I135" s="1" t="s">
        <v>109</v>
      </c>
      <c r="J135">
        <f t="shared" si="4"/>
        <v>0</v>
      </c>
      <c r="K135">
        <f>COUNTIFS(Grunnspill!$A:$A,Annex!B135)</f>
        <v>0</v>
      </c>
      <c r="L135">
        <f>COUNTIFS(Grunnspill!$A:$A,Annex!C135)</f>
        <v>0</v>
      </c>
      <c r="M135">
        <f>COUNTIFS(Grunnspill!$A:$A,Annex!D135)</f>
        <v>0</v>
      </c>
      <c r="N135">
        <f>COUNTIFS(Grunnspill!$A:$A,Annex!E135)</f>
        <v>0</v>
      </c>
      <c r="O135">
        <f>COUNTIFS(Grunnspill!$A:$A,Annex!F135)</f>
        <v>0</v>
      </c>
      <c r="P135">
        <f>COUNTIFS(Grunnspill!$A:$A,Annex!G135)</f>
        <v>0</v>
      </c>
      <c r="Q135">
        <f>COUNTIFS(Grunnspill!$A:$A,Annex!H135)</f>
        <v>0</v>
      </c>
      <c r="R135">
        <f>COUNTIFS(Grunnspill!$A:$A,Annex!I135)</f>
        <v>0</v>
      </c>
    </row>
    <row r="136" spans="1:18" x14ac:dyDescent="0.2">
      <c r="A136">
        <v>133</v>
      </c>
      <c r="B136" s="1" t="s">
        <v>102</v>
      </c>
      <c r="C136" s="1" t="s">
        <v>104</v>
      </c>
      <c r="D136" s="1" t="s">
        <v>112</v>
      </c>
      <c r="E136" s="1" t="s">
        <v>111</v>
      </c>
      <c r="F136" s="1" t="s">
        <v>106</v>
      </c>
      <c r="G136" s="1" t="s">
        <v>110</v>
      </c>
      <c r="H136" s="1" t="s">
        <v>108</v>
      </c>
      <c r="I136" s="1" t="s">
        <v>109</v>
      </c>
      <c r="J136">
        <f t="shared" si="4"/>
        <v>0</v>
      </c>
      <c r="K136">
        <f>COUNTIFS(Grunnspill!$A:$A,Annex!B136)</f>
        <v>0</v>
      </c>
      <c r="L136">
        <f>COUNTIFS(Grunnspill!$A:$A,Annex!C136)</f>
        <v>0</v>
      </c>
      <c r="M136">
        <f>COUNTIFS(Grunnspill!$A:$A,Annex!D136)</f>
        <v>0</v>
      </c>
      <c r="N136">
        <f>COUNTIFS(Grunnspill!$A:$A,Annex!E136)</f>
        <v>0</v>
      </c>
      <c r="O136">
        <f>COUNTIFS(Grunnspill!$A:$A,Annex!F136)</f>
        <v>0</v>
      </c>
      <c r="P136">
        <f>COUNTIFS(Grunnspill!$A:$A,Annex!G136)</f>
        <v>0</v>
      </c>
      <c r="Q136">
        <f>COUNTIFS(Grunnspill!$A:$A,Annex!H136)</f>
        <v>0</v>
      </c>
      <c r="R136">
        <f>COUNTIFS(Grunnspill!$A:$A,Annex!I136)</f>
        <v>0</v>
      </c>
    </row>
    <row r="137" spans="1:18" x14ac:dyDescent="0.2">
      <c r="A137">
        <v>134</v>
      </c>
      <c r="B137" s="1" t="s">
        <v>102</v>
      </c>
      <c r="C137" s="1" t="s">
        <v>103</v>
      </c>
      <c r="D137" s="1" t="s">
        <v>112</v>
      </c>
      <c r="E137" s="1" t="s">
        <v>111</v>
      </c>
      <c r="F137" s="1" t="s">
        <v>106</v>
      </c>
      <c r="G137" s="1" t="s">
        <v>110</v>
      </c>
      <c r="H137" s="1" t="s">
        <v>108</v>
      </c>
      <c r="I137" s="1" t="s">
        <v>104</v>
      </c>
      <c r="J137">
        <f t="shared" si="4"/>
        <v>0</v>
      </c>
      <c r="K137">
        <f>COUNTIFS(Grunnspill!$A:$A,Annex!B137)</f>
        <v>0</v>
      </c>
      <c r="L137">
        <f>COUNTIFS(Grunnspill!$A:$A,Annex!C137)</f>
        <v>0</v>
      </c>
      <c r="M137">
        <f>COUNTIFS(Grunnspill!$A:$A,Annex!D137)</f>
        <v>0</v>
      </c>
      <c r="N137">
        <f>COUNTIFS(Grunnspill!$A:$A,Annex!E137)</f>
        <v>0</v>
      </c>
      <c r="O137">
        <f>COUNTIFS(Grunnspill!$A:$A,Annex!F137)</f>
        <v>0</v>
      </c>
      <c r="P137">
        <f>COUNTIFS(Grunnspill!$A:$A,Annex!G137)</f>
        <v>0</v>
      </c>
      <c r="Q137">
        <f>COUNTIFS(Grunnspill!$A:$A,Annex!H137)</f>
        <v>0</v>
      </c>
      <c r="R137">
        <f>COUNTIFS(Grunnspill!$A:$A,Annex!I137)</f>
        <v>0</v>
      </c>
    </row>
    <row r="138" spans="1:18" x14ac:dyDescent="0.2">
      <c r="A138">
        <v>135</v>
      </c>
      <c r="B138" s="1" t="s">
        <v>102</v>
      </c>
      <c r="C138" s="1" t="s">
        <v>103</v>
      </c>
      <c r="D138" s="1" t="s">
        <v>112</v>
      </c>
      <c r="E138" s="1" t="s">
        <v>111</v>
      </c>
      <c r="F138" s="1" t="s">
        <v>106</v>
      </c>
      <c r="G138" s="1" t="s">
        <v>110</v>
      </c>
      <c r="H138" s="1" t="s">
        <v>104</v>
      </c>
      <c r="I138" s="1" t="s">
        <v>109</v>
      </c>
      <c r="J138">
        <f t="shared" si="4"/>
        <v>0</v>
      </c>
      <c r="K138">
        <f>COUNTIFS(Grunnspill!$A:$A,Annex!B138)</f>
        <v>0</v>
      </c>
      <c r="L138">
        <f>COUNTIFS(Grunnspill!$A:$A,Annex!C138)</f>
        <v>0</v>
      </c>
      <c r="M138">
        <f>COUNTIFS(Grunnspill!$A:$A,Annex!D138)</f>
        <v>0</v>
      </c>
      <c r="N138">
        <f>COUNTIFS(Grunnspill!$A:$A,Annex!E138)</f>
        <v>0</v>
      </c>
      <c r="O138">
        <f>COUNTIFS(Grunnspill!$A:$A,Annex!F138)</f>
        <v>0</v>
      </c>
      <c r="P138">
        <f>COUNTIFS(Grunnspill!$A:$A,Annex!G138)</f>
        <v>0</v>
      </c>
      <c r="Q138">
        <f>COUNTIFS(Grunnspill!$A:$A,Annex!H138)</f>
        <v>0</v>
      </c>
      <c r="R138">
        <f>COUNTIFS(Grunnspill!$A:$A,Annex!I138)</f>
        <v>0</v>
      </c>
    </row>
    <row r="139" spans="1:18" x14ac:dyDescent="0.2">
      <c r="A139">
        <v>136</v>
      </c>
      <c r="B139" s="1" t="s">
        <v>102</v>
      </c>
      <c r="C139" s="1" t="s">
        <v>107</v>
      </c>
      <c r="D139" s="1" t="s">
        <v>112</v>
      </c>
      <c r="E139" s="1" t="s">
        <v>111</v>
      </c>
      <c r="F139" s="1" t="s">
        <v>103</v>
      </c>
      <c r="G139" s="1" t="s">
        <v>110</v>
      </c>
      <c r="H139" s="1" t="s">
        <v>108</v>
      </c>
      <c r="I139" s="1" t="s">
        <v>109</v>
      </c>
      <c r="J139">
        <f t="shared" si="4"/>
        <v>0</v>
      </c>
      <c r="K139">
        <f>COUNTIFS(Grunnspill!$A:$A,Annex!B139)</f>
        <v>0</v>
      </c>
      <c r="L139">
        <f>COUNTIFS(Grunnspill!$A:$A,Annex!C139)</f>
        <v>0</v>
      </c>
      <c r="M139">
        <f>COUNTIFS(Grunnspill!$A:$A,Annex!D139)</f>
        <v>0</v>
      </c>
      <c r="N139">
        <f>COUNTIFS(Grunnspill!$A:$A,Annex!E139)</f>
        <v>0</v>
      </c>
      <c r="O139">
        <f>COUNTIFS(Grunnspill!$A:$A,Annex!F139)</f>
        <v>0</v>
      </c>
      <c r="P139">
        <f>COUNTIFS(Grunnspill!$A:$A,Annex!G139)</f>
        <v>0</v>
      </c>
      <c r="Q139">
        <f>COUNTIFS(Grunnspill!$A:$A,Annex!H139)</f>
        <v>0</v>
      </c>
      <c r="R139">
        <f>COUNTIFS(Grunnspill!$A:$A,Annex!I139)</f>
        <v>0</v>
      </c>
    </row>
    <row r="140" spans="1:18" x14ac:dyDescent="0.2">
      <c r="A140">
        <v>137</v>
      </c>
      <c r="B140" s="1" t="s">
        <v>102</v>
      </c>
      <c r="C140" s="1" t="s">
        <v>107</v>
      </c>
      <c r="D140" s="1" t="s">
        <v>112</v>
      </c>
      <c r="E140" s="1" t="s">
        <v>111</v>
      </c>
      <c r="F140" s="1" t="s">
        <v>104</v>
      </c>
      <c r="G140" s="1" t="s">
        <v>110</v>
      </c>
      <c r="H140" s="1" t="s">
        <v>108</v>
      </c>
      <c r="I140" s="1" t="s">
        <v>109</v>
      </c>
      <c r="J140">
        <f t="shared" si="4"/>
        <v>0</v>
      </c>
      <c r="K140">
        <f>COUNTIFS(Grunnspill!$A:$A,Annex!B140)</f>
        <v>0</v>
      </c>
      <c r="L140">
        <f>COUNTIFS(Grunnspill!$A:$A,Annex!C140)</f>
        <v>0</v>
      </c>
      <c r="M140">
        <f>COUNTIFS(Grunnspill!$A:$A,Annex!D140)</f>
        <v>0</v>
      </c>
      <c r="N140">
        <f>COUNTIFS(Grunnspill!$A:$A,Annex!E140)</f>
        <v>0</v>
      </c>
      <c r="O140">
        <f>COUNTIFS(Grunnspill!$A:$A,Annex!F140)</f>
        <v>0</v>
      </c>
      <c r="P140">
        <f>COUNTIFS(Grunnspill!$A:$A,Annex!G140)</f>
        <v>0</v>
      </c>
      <c r="Q140">
        <f>COUNTIFS(Grunnspill!$A:$A,Annex!H140)</f>
        <v>0</v>
      </c>
      <c r="R140">
        <f>COUNTIFS(Grunnspill!$A:$A,Annex!I140)</f>
        <v>0</v>
      </c>
    </row>
    <row r="141" spans="1:18" x14ac:dyDescent="0.2">
      <c r="A141">
        <v>138</v>
      </c>
      <c r="B141" s="1" t="s">
        <v>102</v>
      </c>
      <c r="C141" s="1" t="s">
        <v>107</v>
      </c>
      <c r="D141" s="1" t="s">
        <v>112</v>
      </c>
      <c r="E141" s="1" t="s">
        <v>111</v>
      </c>
      <c r="F141" s="1" t="s">
        <v>103</v>
      </c>
      <c r="G141" s="1" t="s">
        <v>110</v>
      </c>
      <c r="H141" s="1" t="s">
        <v>108</v>
      </c>
      <c r="I141" s="1" t="s">
        <v>104</v>
      </c>
      <c r="J141">
        <f t="shared" si="4"/>
        <v>0</v>
      </c>
      <c r="K141">
        <f>COUNTIFS(Grunnspill!$A:$A,Annex!B141)</f>
        <v>0</v>
      </c>
      <c r="L141">
        <f>COUNTIFS(Grunnspill!$A:$A,Annex!C141)</f>
        <v>0</v>
      </c>
      <c r="M141">
        <f>COUNTIFS(Grunnspill!$A:$A,Annex!D141)</f>
        <v>0</v>
      </c>
      <c r="N141">
        <f>COUNTIFS(Grunnspill!$A:$A,Annex!E141)</f>
        <v>0</v>
      </c>
      <c r="O141">
        <f>COUNTIFS(Grunnspill!$A:$A,Annex!F141)</f>
        <v>0</v>
      </c>
      <c r="P141">
        <f>COUNTIFS(Grunnspill!$A:$A,Annex!G141)</f>
        <v>0</v>
      </c>
      <c r="Q141">
        <f>COUNTIFS(Grunnspill!$A:$A,Annex!H141)</f>
        <v>0</v>
      </c>
      <c r="R141">
        <f>COUNTIFS(Grunnspill!$A:$A,Annex!I141)</f>
        <v>0</v>
      </c>
    </row>
    <row r="142" spans="1:18" x14ac:dyDescent="0.2">
      <c r="A142">
        <v>139</v>
      </c>
      <c r="B142" s="1" t="s">
        <v>102</v>
      </c>
      <c r="C142" s="1" t="s">
        <v>107</v>
      </c>
      <c r="D142" s="1" t="s">
        <v>112</v>
      </c>
      <c r="E142" s="1" t="s">
        <v>111</v>
      </c>
      <c r="F142" s="1" t="s">
        <v>103</v>
      </c>
      <c r="G142" s="1" t="s">
        <v>110</v>
      </c>
      <c r="H142" s="1" t="s">
        <v>104</v>
      </c>
      <c r="I142" s="1" t="s">
        <v>109</v>
      </c>
      <c r="J142">
        <f t="shared" si="4"/>
        <v>0</v>
      </c>
      <c r="K142">
        <f>COUNTIFS(Grunnspill!$A:$A,Annex!B142)</f>
        <v>0</v>
      </c>
      <c r="L142">
        <f>COUNTIFS(Grunnspill!$A:$A,Annex!C142)</f>
        <v>0</v>
      </c>
      <c r="M142">
        <f>COUNTIFS(Grunnspill!$A:$A,Annex!D142)</f>
        <v>0</v>
      </c>
      <c r="N142">
        <f>COUNTIFS(Grunnspill!$A:$A,Annex!E142)</f>
        <v>0</v>
      </c>
      <c r="O142">
        <f>COUNTIFS(Grunnspill!$A:$A,Annex!F142)</f>
        <v>0</v>
      </c>
      <c r="P142">
        <f>COUNTIFS(Grunnspill!$A:$A,Annex!G142)</f>
        <v>0</v>
      </c>
      <c r="Q142">
        <f>COUNTIFS(Grunnspill!$A:$A,Annex!H142)</f>
        <v>0</v>
      </c>
      <c r="R142">
        <f>COUNTIFS(Grunnspill!$A:$A,Annex!I142)</f>
        <v>0</v>
      </c>
    </row>
    <row r="143" spans="1:18" x14ac:dyDescent="0.2">
      <c r="A143">
        <v>140</v>
      </c>
      <c r="B143" s="1" t="s">
        <v>102</v>
      </c>
      <c r="C143" s="1" t="s">
        <v>107</v>
      </c>
      <c r="D143" s="1" t="s">
        <v>112</v>
      </c>
      <c r="E143" s="1" t="s">
        <v>111</v>
      </c>
      <c r="F143" s="1" t="s">
        <v>106</v>
      </c>
      <c r="G143" s="1" t="s">
        <v>110</v>
      </c>
      <c r="H143" s="1" t="s">
        <v>108</v>
      </c>
      <c r="I143" s="1" t="s">
        <v>109</v>
      </c>
      <c r="J143">
        <f t="shared" si="4"/>
        <v>0</v>
      </c>
      <c r="K143">
        <f>COUNTIFS(Grunnspill!$A:$A,Annex!B143)</f>
        <v>0</v>
      </c>
      <c r="L143">
        <f>COUNTIFS(Grunnspill!$A:$A,Annex!C143)</f>
        <v>0</v>
      </c>
      <c r="M143">
        <f>COUNTIFS(Grunnspill!$A:$A,Annex!D143)</f>
        <v>0</v>
      </c>
      <c r="N143">
        <f>COUNTIFS(Grunnspill!$A:$A,Annex!E143)</f>
        <v>0</v>
      </c>
      <c r="O143">
        <f>COUNTIFS(Grunnspill!$A:$A,Annex!F143)</f>
        <v>0</v>
      </c>
      <c r="P143">
        <f>COUNTIFS(Grunnspill!$A:$A,Annex!G143)</f>
        <v>0</v>
      </c>
      <c r="Q143">
        <f>COUNTIFS(Grunnspill!$A:$A,Annex!H143)</f>
        <v>0</v>
      </c>
      <c r="R143">
        <f>COUNTIFS(Grunnspill!$A:$A,Annex!I143)</f>
        <v>0</v>
      </c>
    </row>
    <row r="144" spans="1:18" x14ac:dyDescent="0.2">
      <c r="A144">
        <v>141</v>
      </c>
      <c r="B144" s="1" t="s">
        <v>106</v>
      </c>
      <c r="C144" s="1" t="s">
        <v>107</v>
      </c>
      <c r="D144" s="1" t="s">
        <v>112</v>
      </c>
      <c r="E144" s="1" t="s">
        <v>111</v>
      </c>
      <c r="F144" s="1" t="s">
        <v>103</v>
      </c>
      <c r="G144" s="1" t="s">
        <v>110</v>
      </c>
      <c r="H144" s="1" t="s">
        <v>108</v>
      </c>
      <c r="I144" s="1" t="s">
        <v>102</v>
      </c>
      <c r="J144">
        <f t="shared" si="4"/>
        <v>0</v>
      </c>
      <c r="K144">
        <f>COUNTIFS(Grunnspill!$A:$A,Annex!B144)</f>
        <v>0</v>
      </c>
      <c r="L144">
        <f>COUNTIFS(Grunnspill!$A:$A,Annex!C144)</f>
        <v>0</v>
      </c>
      <c r="M144">
        <f>COUNTIFS(Grunnspill!$A:$A,Annex!D144)</f>
        <v>0</v>
      </c>
      <c r="N144">
        <f>COUNTIFS(Grunnspill!$A:$A,Annex!E144)</f>
        <v>0</v>
      </c>
      <c r="O144">
        <f>COUNTIFS(Grunnspill!$A:$A,Annex!F144)</f>
        <v>0</v>
      </c>
      <c r="P144">
        <f>COUNTIFS(Grunnspill!$A:$A,Annex!G144)</f>
        <v>0</v>
      </c>
      <c r="Q144">
        <f>COUNTIFS(Grunnspill!$A:$A,Annex!H144)</f>
        <v>0</v>
      </c>
      <c r="R144">
        <f>COUNTIFS(Grunnspill!$A:$A,Annex!I144)</f>
        <v>0</v>
      </c>
    </row>
    <row r="145" spans="1:18" x14ac:dyDescent="0.2">
      <c r="A145">
        <v>142</v>
      </c>
      <c r="B145" s="1" t="s">
        <v>106</v>
      </c>
      <c r="C145" s="1" t="s">
        <v>107</v>
      </c>
      <c r="D145" s="1" t="s">
        <v>112</v>
      </c>
      <c r="E145" s="1" t="s">
        <v>111</v>
      </c>
      <c r="F145" s="1" t="s">
        <v>103</v>
      </c>
      <c r="G145" s="1" t="s">
        <v>110</v>
      </c>
      <c r="H145" s="1" t="s">
        <v>102</v>
      </c>
      <c r="I145" s="1" t="s">
        <v>109</v>
      </c>
      <c r="J145">
        <f t="shared" si="4"/>
        <v>0</v>
      </c>
      <c r="K145">
        <f>COUNTIFS(Grunnspill!$A:$A,Annex!B145)</f>
        <v>0</v>
      </c>
      <c r="L145">
        <f>COUNTIFS(Grunnspill!$A:$A,Annex!C145)</f>
        <v>0</v>
      </c>
      <c r="M145">
        <f>COUNTIFS(Grunnspill!$A:$A,Annex!D145)</f>
        <v>0</v>
      </c>
      <c r="N145">
        <f>COUNTIFS(Grunnspill!$A:$A,Annex!E145)</f>
        <v>0</v>
      </c>
      <c r="O145">
        <f>COUNTIFS(Grunnspill!$A:$A,Annex!F145)</f>
        <v>0</v>
      </c>
      <c r="P145">
        <f>COUNTIFS(Grunnspill!$A:$A,Annex!G145)</f>
        <v>0</v>
      </c>
      <c r="Q145">
        <f>COUNTIFS(Grunnspill!$A:$A,Annex!H145)</f>
        <v>0</v>
      </c>
      <c r="R145">
        <f>COUNTIFS(Grunnspill!$A:$A,Annex!I145)</f>
        <v>0</v>
      </c>
    </row>
    <row r="146" spans="1:18" x14ac:dyDescent="0.2">
      <c r="A146">
        <v>143</v>
      </c>
      <c r="B146" s="1" t="s">
        <v>102</v>
      </c>
      <c r="C146" s="1" t="s">
        <v>107</v>
      </c>
      <c r="D146" s="1" t="s">
        <v>112</v>
      </c>
      <c r="E146" s="1" t="s">
        <v>111</v>
      </c>
      <c r="F146" s="1" t="s">
        <v>106</v>
      </c>
      <c r="G146" s="1" t="s">
        <v>110</v>
      </c>
      <c r="H146" s="1" t="s">
        <v>108</v>
      </c>
      <c r="I146" s="1" t="s">
        <v>104</v>
      </c>
      <c r="J146">
        <f t="shared" si="4"/>
        <v>0</v>
      </c>
      <c r="K146">
        <f>COUNTIFS(Grunnspill!$A:$A,Annex!B146)</f>
        <v>0</v>
      </c>
      <c r="L146">
        <f>COUNTIFS(Grunnspill!$A:$A,Annex!C146)</f>
        <v>0</v>
      </c>
      <c r="M146">
        <f>COUNTIFS(Grunnspill!$A:$A,Annex!D146)</f>
        <v>0</v>
      </c>
      <c r="N146">
        <f>COUNTIFS(Grunnspill!$A:$A,Annex!E146)</f>
        <v>0</v>
      </c>
      <c r="O146">
        <f>COUNTIFS(Grunnspill!$A:$A,Annex!F146)</f>
        <v>0</v>
      </c>
      <c r="P146">
        <f>COUNTIFS(Grunnspill!$A:$A,Annex!G146)</f>
        <v>0</v>
      </c>
      <c r="Q146">
        <f>COUNTIFS(Grunnspill!$A:$A,Annex!H146)</f>
        <v>0</v>
      </c>
      <c r="R146">
        <f>COUNTIFS(Grunnspill!$A:$A,Annex!I146)</f>
        <v>0</v>
      </c>
    </row>
    <row r="147" spans="1:18" x14ac:dyDescent="0.2">
      <c r="A147">
        <v>144</v>
      </c>
      <c r="B147" s="1" t="s">
        <v>102</v>
      </c>
      <c r="C147" s="1" t="s">
        <v>107</v>
      </c>
      <c r="D147" s="1" t="s">
        <v>112</v>
      </c>
      <c r="E147" s="1" t="s">
        <v>111</v>
      </c>
      <c r="F147" s="1" t="s">
        <v>106</v>
      </c>
      <c r="G147" s="1" t="s">
        <v>110</v>
      </c>
      <c r="H147" s="1" t="s">
        <v>104</v>
      </c>
      <c r="I147" s="1" t="s">
        <v>109</v>
      </c>
      <c r="J147">
        <f t="shared" si="4"/>
        <v>0</v>
      </c>
      <c r="K147">
        <f>COUNTIFS(Grunnspill!$A:$A,Annex!B147)</f>
        <v>0</v>
      </c>
      <c r="L147">
        <f>COUNTIFS(Grunnspill!$A:$A,Annex!C147)</f>
        <v>0</v>
      </c>
      <c r="M147">
        <f>COUNTIFS(Grunnspill!$A:$A,Annex!D147)</f>
        <v>0</v>
      </c>
      <c r="N147">
        <f>COUNTIFS(Grunnspill!$A:$A,Annex!E147)</f>
        <v>0</v>
      </c>
      <c r="O147">
        <f>COUNTIFS(Grunnspill!$A:$A,Annex!F147)</f>
        <v>0</v>
      </c>
      <c r="P147">
        <f>COUNTIFS(Grunnspill!$A:$A,Annex!G147)</f>
        <v>0</v>
      </c>
      <c r="Q147">
        <f>COUNTIFS(Grunnspill!$A:$A,Annex!H147)</f>
        <v>0</v>
      </c>
      <c r="R147">
        <f>COUNTIFS(Grunnspill!$A:$A,Annex!I147)</f>
        <v>0</v>
      </c>
    </row>
    <row r="148" spans="1:18" x14ac:dyDescent="0.2">
      <c r="A148">
        <v>145</v>
      </c>
      <c r="B148" s="1" t="s">
        <v>106</v>
      </c>
      <c r="C148" s="1" t="s">
        <v>107</v>
      </c>
      <c r="D148" s="1" t="s">
        <v>112</v>
      </c>
      <c r="E148" s="1" t="s">
        <v>111</v>
      </c>
      <c r="F148" s="1" t="s">
        <v>103</v>
      </c>
      <c r="G148" s="1" t="s">
        <v>110</v>
      </c>
      <c r="H148" s="1" t="s">
        <v>102</v>
      </c>
      <c r="I148" s="1" t="s">
        <v>104</v>
      </c>
      <c r="J148">
        <f t="shared" si="4"/>
        <v>0</v>
      </c>
      <c r="K148">
        <f>COUNTIFS(Grunnspill!$A:$A,Annex!B148)</f>
        <v>0</v>
      </c>
      <c r="L148">
        <f>COUNTIFS(Grunnspill!$A:$A,Annex!C148)</f>
        <v>0</v>
      </c>
      <c r="M148">
        <f>COUNTIFS(Grunnspill!$A:$A,Annex!D148)</f>
        <v>0</v>
      </c>
      <c r="N148">
        <f>COUNTIFS(Grunnspill!$A:$A,Annex!E148)</f>
        <v>0</v>
      </c>
      <c r="O148">
        <f>COUNTIFS(Grunnspill!$A:$A,Annex!F148)</f>
        <v>0</v>
      </c>
      <c r="P148">
        <f>COUNTIFS(Grunnspill!$A:$A,Annex!G148)</f>
        <v>0</v>
      </c>
      <c r="Q148">
        <f>COUNTIFS(Grunnspill!$A:$A,Annex!H148)</f>
        <v>0</v>
      </c>
      <c r="R148">
        <f>COUNTIFS(Grunnspill!$A:$A,Annex!I148)</f>
        <v>0</v>
      </c>
    </row>
    <row r="149" spans="1:18" x14ac:dyDescent="0.2">
      <c r="A149">
        <v>146</v>
      </c>
      <c r="B149" s="1" t="s">
        <v>111</v>
      </c>
      <c r="C149" s="1" t="s">
        <v>103</v>
      </c>
      <c r="D149" s="1" t="s">
        <v>112</v>
      </c>
      <c r="E149" s="1" t="s">
        <v>110</v>
      </c>
      <c r="F149" s="1" t="s">
        <v>102</v>
      </c>
      <c r="G149" s="1" t="s">
        <v>105</v>
      </c>
      <c r="H149" s="1" t="s">
        <v>108</v>
      </c>
      <c r="I149" s="1" t="s">
        <v>109</v>
      </c>
      <c r="J149">
        <f t="shared" si="4"/>
        <v>0</v>
      </c>
      <c r="K149">
        <f>COUNTIFS(Grunnspill!$A:$A,Annex!B149)</f>
        <v>0</v>
      </c>
      <c r="L149">
        <f>COUNTIFS(Grunnspill!$A:$A,Annex!C149)</f>
        <v>0</v>
      </c>
      <c r="M149">
        <f>COUNTIFS(Grunnspill!$A:$A,Annex!D149)</f>
        <v>0</v>
      </c>
      <c r="N149">
        <f>COUNTIFS(Grunnspill!$A:$A,Annex!E149)</f>
        <v>0</v>
      </c>
      <c r="O149">
        <f>COUNTIFS(Grunnspill!$A:$A,Annex!F149)</f>
        <v>0</v>
      </c>
      <c r="P149">
        <f>COUNTIFS(Grunnspill!$A:$A,Annex!G149)</f>
        <v>0</v>
      </c>
      <c r="Q149">
        <f>COUNTIFS(Grunnspill!$A:$A,Annex!H149)</f>
        <v>0</v>
      </c>
      <c r="R149">
        <f>COUNTIFS(Grunnspill!$A:$A,Annex!I149)</f>
        <v>0</v>
      </c>
    </row>
    <row r="150" spans="1:18" x14ac:dyDescent="0.2">
      <c r="A150">
        <v>147</v>
      </c>
      <c r="B150" s="1" t="s">
        <v>111</v>
      </c>
      <c r="C150" s="1" t="s">
        <v>102</v>
      </c>
      <c r="D150" s="1" t="s">
        <v>112</v>
      </c>
      <c r="E150" s="1" t="s">
        <v>110</v>
      </c>
      <c r="F150" s="1" t="s">
        <v>104</v>
      </c>
      <c r="G150" s="1" t="s">
        <v>105</v>
      </c>
      <c r="H150" s="1" t="s">
        <v>108</v>
      </c>
      <c r="I150" s="1" t="s">
        <v>109</v>
      </c>
      <c r="J150">
        <f t="shared" ref="J150:J213" si="5">SUM(K150:R150)</f>
        <v>0</v>
      </c>
      <c r="K150">
        <f>COUNTIFS(Grunnspill!$A:$A,Annex!B150)</f>
        <v>0</v>
      </c>
      <c r="L150">
        <f>COUNTIFS(Grunnspill!$A:$A,Annex!C150)</f>
        <v>0</v>
      </c>
      <c r="M150">
        <f>COUNTIFS(Grunnspill!$A:$A,Annex!D150)</f>
        <v>0</v>
      </c>
      <c r="N150">
        <f>COUNTIFS(Grunnspill!$A:$A,Annex!E150)</f>
        <v>0</v>
      </c>
      <c r="O150">
        <f>COUNTIFS(Grunnspill!$A:$A,Annex!F150)</f>
        <v>0</v>
      </c>
      <c r="P150">
        <f>COUNTIFS(Grunnspill!$A:$A,Annex!G150)</f>
        <v>0</v>
      </c>
      <c r="Q150">
        <f>COUNTIFS(Grunnspill!$A:$A,Annex!H150)</f>
        <v>0</v>
      </c>
      <c r="R150">
        <f>COUNTIFS(Grunnspill!$A:$A,Annex!I150)</f>
        <v>0</v>
      </c>
    </row>
    <row r="151" spans="1:18" x14ac:dyDescent="0.2">
      <c r="A151">
        <v>148</v>
      </c>
      <c r="B151" s="1" t="s">
        <v>111</v>
      </c>
      <c r="C151" s="1" t="s">
        <v>103</v>
      </c>
      <c r="D151" s="1" t="s">
        <v>112</v>
      </c>
      <c r="E151" s="1" t="s">
        <v>110</v>
      </c>
      <c r="F151" s="1" t="s">
        <v>102</v>
      </c>
      <c r="G151" s="1" t="s">
        <v>105</v>
      </c>
      <c r="H151" s="1" t="s">
        <v>108</v>
      </c>
      <c r="I151" s="1" t="s">
        <v>104</v>
      </c>
      <c r="J151">
        <f t="shared" si="5"/>
        <v>0</v>
      </c>
      <c r="K151">
        <f>COUNTIFS(Grunnspill!$A:$A,Annex!B151)</f>
        <v>0</v>
      </c>
      <c r="L151">
        <f>COUNTIFS(Grunnspill!$A:$A,Annex!C151)</f>
        <v>0</v>
      </c>
      <c r="M151">
        <f>COUNTIFS(Grunnspill!$A:$A,Annex!D151)</f>
        <v>0</v>
      </c>
      <c r="N151">
        <f>COUNTIFS(Grunnspill!$A:$A,Annex!E151)</f>
        <v>0</v>
      </c>
      <c r="O151">
        <f>COUNTIFS(Grunnspill!$A:$A,Annex!F151)</f>
        <v>0</v>
      </c>
      <c r="P151">
        <f>COUNTIFS(Grunnspill!$A:$A,Annex!G151)</f>
        <v>0</v>
      </c>
      <c r="Q151">
        <f>COUNTIFS(Grunnspill!$A:$A,Annex!H151)</f>
        <v>0</v>
      </c>
      <c r="R151">
        <f>COUNTIFS(Grunnspill!$A:$A,Annex!I151)</f>
        <v>0</v>
      </c>
    </row>
    <row r="152" spans="1:18" x14ac:dyDescent="0.2">
      <c r="A152">
        <v>149</v>
      </c>
      <c r="B152" s="1" t="s">
        <v>111</v>
      </c>
      <c r="C152" s="1" t="s">
        <v>103</v>
      </c>
      <c r="D152" s="1" t="s">
        <v>112</v>
      </c>
      <c r="E152" s="1" t="s">
        <v>110</v>
      </c>
      <c r="F152" s="1" t="s">
        <v>102</v>
      </c>
      <c r="G152" s="1" t="s">
        <v>105</v>
      </c>
      <c r="H152" s="1" t="s">
        <v>104</v>
      </c>
      <c r="I152" s="1" t="s">
        <v>109</v>
      </c>
      <c r="J152">
        <f t="shared" si="5"/>
        <v>0</v>
      </c>
      <c r="K152">
        <f>COUNTIFS(Grunnspill!$A:$A,Annex!B152)</f>
        <v>0</v>
      </c>
      <c r="L152">
        <f>COUNTIFS(Grunnspill!$A:$A,Annex!C152)</f>
        <v>0</v>
      </c>
      <c r="M152">
        <f>COUNTIFS(Grunnspill!$A:$A,Annex!D152)</f>
        <v>0</v>
      </c>
      <c r="N152">
        <f>COUNTIFS(Grunnspill!$A:$A,Annex!E152)</f>
        <v>0</v>
      </c>
      <c r="O152">
        <f>COUNTIFS(Grunnspill!$A:$A,Annex!F152)</f>
        <v>0</v>
      </c>
      <c r="P152">
        <f>COUNTIFS(Grunnspill!$A:$A,Annex!G152)</f>
        <v>0</v>
      </c>
      <c r="Q152">
        <f>COUNTIFS(Grunnspill!$A:$A,Annex!H152)</f>
        <v>0</v>
      </c>
      <c r="R152">
        <f>COUNTIFS(Grunnspill!$A:$A,Annex!I152)</f>
        <v>0</v>
      </c>
    </row>
    <row r="153" spans="1:18" x14ac:dyDescent="0.2">
      <c r="A153">
        <v>150</v>
      </c>
      <c r="B153" s="1" t="s">
        <v>111</v>
      </c>
      <c r="C153" s="1" t="s">
        <v>102</v>
      </c>
      <c r="D153" s="1" t="s">
        <v>112</v>
      </c>
      <c r="E153" s="1" t="s">
        <v>110</v>
      </c>
      <c r="F153" s="1" t="s">
        <v>106</v>
      </c>
      <c r="G153" s="1" t="s">
        <v>105</v>
      </c>
      <c r="H153" s="1" t="s">
        <v>108</v>
      </c>
      <c r="I153" s="1" t="s">
        <v>109</v>
      </c>
      <c r="J153">
        <f t="shared" si="5"/>
        <v>0</v>
      </c>
      <c r="K153">
        <f>COUNTIFS(Grunnspill!$A:$A,Annex!B153)</f>
        <v>0</v>
      </c>
      <c r="L153">
        <f>COUNTIFS(Grunnspill!$A:$A,Annex!C153)</f>
        <v>0</v>
      </c>
      <c r="M153">
        <f>COUNTIFS(Grunnspill!$A:$A,Annex!D153)</f>
        <v>0</v>
      </c>
      <c r="N153">
        <f>COUNTIFS(Grunnspill!$A:$A,Annex!E153)</f>
        <v>0</v>
      </c>
      <c r="O153">
        <f>COUNTIFS(Grunnspill!$A:$A,Annex!F153)</f>
        <v>0</v>
      </c>
      <c r="P153">
        <f>COUNTIFS(Grunnspill!$A:$A,Annex!G153)</f>
        <v>0</v>
      </c>
      <c r="Q153">
        <f>COUNTIFS(Grunnspill!$A:$A,Annex!H153)</f>
        <v>0</v>
      </c>
      <c r="R153">
        <f>COUNTIFS(Grunnspill!$A:$A,Annex!I153)</f>
        <v>0</v>
      </c>
    </row>
    <row r="154" spans="1:18" x14ac:dyDescent="0.2">
      <c r="A154">
        <v>151</v>
      </c>
      <c r="B154" s="1" t="s">
        <v>111</v>
      </c>
      <c r="C154" s="1" t="s">
        <v>103</v>
      </c>
      <c r="D154" s="1" t="s">
        <v>112</v>
      </c>
      <c r="E154" s="1" t="s">
        <v>110</v>
      </c>
      <c r="F154" s="1" t="s">
        <v>106</v>
      </c>
      <c r="G154" s="1" t="s">
        <v>105</v>
      </c>
      <c r="H154" s="1" t="s">
        <v>108</v>
      </c>
      <c r="I154" s="1" t="s">
        <v>102</v>
      </c>
      <c r="J154">
        <f t="shared" si="5"/>
        <v>0</v>
      </c>
      <c r="K154">
        <f>COUNTIFS(Grunnspill!$A:$A,Annex!B154)</f>
        <v>0</v>
      </c>
      <c r="L154">
        <f>COUNTIFS(Grunnspill!$A:$A,Annex!C154)</f>
        <v>0</v>
      </c>
      <c r="M154">
        <f>COUNTIFS(Grunnspill!$A:$A,Annex!D154)</f>
        <v>0</v>
      </c>
      <c r="N154">
        <f>COUNTIFS(Grunnspill!$A:$A,Annex!E154)</f>
        <v>0</v>
      </c>
      <c r="O154">
        <f>COUNTIFS(Grunnspill!$A:$A,Annex!F154)</f>
        <v>0</v>
      </c>
      <c r="P154">
        <f>COUNTIFS(Grunnspill!$A:$A,Annex!G154)</f>
        <v>0</v>
      </c>
      <c r="Q154">
        <f>COUNTIFS(Grunnspill!$A:$A,Annex!H154)</f>
        <v>0</v>
      </c>
      <c r="R154">
        <f>COUNTIFS(Grunnspill!$A:$A,Annex!I154)</f>
        <v>0</v>
      </c>
    </row>
    <row r="155" spans="1:18" x14ac:dyDescent="0.2">
      <c r="A155">
        <v>152</v>
      </c>
      <c r="B155" s="1" t="s">
        <v>111</v>
      </c>
      <c r="C155" s="1" t="s">
        <v>103</v>
      </c>
      <c r="D155" s="1" t="s">
        <v>112</v>
      </c>
      <c r="E155" s="1" t="s">
        <v>110</v>
      </c>
      <c r="F155" s="1" t="s">
        <v>106</v>
      </c>
      <c r="G155" s="1" t="s">
        <v>105</v>
      </c>
      <c r="H155" s="1" t="s">
        <v>102</v>
      </c>
      <c r="I155" s="1" t="s">
        <v>109</v>
      </c>
      <c r="J155">
        <f t="shared" si="5"/>
        <v>0</v>
      </c>
      <c r="K155">
        <f>COUNTIFS(Grunnspill!$A:$A,Annex!B155)</f>
        <v>0</v>
      </c>
      <c r="L155">
        <f>COUNTIFS(Grunnspill!$A:$A,Annex!C155)</f>
        <v>0</v>
      </c>
      <c r="M155">
        <f>COUNTIFS(Grunnspill!$A:$A,Annex!D155)</f>
        <v>0</v>
      </c>
      <c r="N155">
        <f>COUNTIFS(Grunnspill!$A:$A,Annex!E155)</f>
        <v>0</v>
      </c>
      <c r="O155">
        <f>COUNTIFS(Grunnspill!$A:$A,Annex!F155)</f>
        <v>0</v>
      </c>
      <c r="P155">
        <f>COUNTIFS(Grunnspill!$A:$A,Annex!G155)</f>
        <v>0</v>
      </c>
      <c r="Q155">
        <f>COUNTIFS(Grunnspill!$A:$A,Annex!H155)</f>
        <v>0</v>
      </c>
      <c r="R155">
        <f>COUNTIFS(Grunnspill!$A:$A,Annex!I155)</f>
        <v>0</v>
      </c>
    </row>
    <row r="156" spans="1:18" x14ac:dyDescent="0.2">
      <c r="A156">
        <v>153</v>
      </c>
      <c r="B156" s="1" t="s">
        <v>111</v>
      </c>
      <c r="C156" s="1" t="s">
        <v>102</v>
      </c>
      <c r="D156" s="1" t="s">
        <v>112</v>
      </c>
      <c r="E156" s="1" t="s">
        <v>110</v>
      </c>
      <c r="F156" s="1" t="s">
        <v>106</v>
      </c>
      <c r="G156" s="1" t="s">
        <v>105</v>
      </c>
      <c r="H156" s="1" t="s">
        <v>108</v>
      </c>
      <c r="I156" s="1" t="s">
        <v>104</v>
      </c>
      <c r="J156">
        <f t="shared" si="5"/>
        <v>0</v>
      </c>
      <c r="K156">
        <f>COUNTIFS(Grunnspill!$A:$A,Annex!B156)</f>
        <v>0</v>
      </c>
      <c r="L156">
        <f>COUNTIFS(Grunnspill!$A:$A,Annex!C156)</f>
        <v>0</v>
      </c>
      <c r="M156">
        <f>COUNTIFS(Grunnspill!$A:$A,Annex!D156)</f>
        <v>0</v>
      </c>
      <c r="N156">
        <f>COUNTIFS(Grunnspill!$A:$A,Annex!E156)</f>
        <v>0</v>
      </c>
      <c r="O156">
        <f>COUNTIFS(Grunnspill!$A:$A,Annex!F156)</f>
        <v>0</v>
      </c>
      <c r="P156">
        <f>COUNTIFS(Grunnspill!$A:$A,Annex!G156)</f>
        <v>0</v>
      </c>
      <c r="Q156">
        <f>COUNTIFS(Grunnspill!$A:$A,Annex!H156)</f>
        <v>0</v>
      </c>
      <c r="R156">
        <f>COUNTIFS(Grunnspill!$A:$A,Annex!I156)</f>
        <v>0</v>
      </c>
    </row>
    <row r="157" spans="1:18" x14ac:dyDescent="0.2">
      <c r="A157">
        <v>154</v>
      </c>
      <c r="B157" s="1" t="s">
        <v>111</v>
      </c>
      <c r="C157" s="1" t="s">
        <v>102</v>
      </c>
      <c r="D157" s="1" t="s">
        <v>112</v>
      </c>
      <c r="E157" s="1" t="s">
        <v>110</v>
      </c>
      <c r="F157" s="1" t="s">
        <v>106</v>
      </c>
      <c r="G157" s="1" t="s">
        <v>105</v>
      </c>
      <c r="H157" s="1" t="s">
        <v>104</v>
      </c>
      <c r="I157" s="1" t="s">
        <v>109</v>
      </c>
      <c r="J157">
        <f t="shared" si="5"/>
        <v>0</v>
      </c>
      <c r="K157">
        <f>COUNTIFS(Grunnspill!$A:$A,Annex!B157)</f>
        <v>0</v>
      </c>
      <c r="L157">
        <f>COUNTIFS(Grunnspill!$A:$A,Annex!C157)</f>
        <v>0</v>
      </c>
      <c r="M157">
        <f>COUNTIFS(Grunnspill!$A:$A,Annex!D157)</f>
        <v>0</v>
      </c>
      <c r="N157">
        <f>COUNTIFS(Grunnspill!$A:$A,Annex!E157)</f>
        <v>0</v>
      </c>
      <c r="O157">
        <f>COUNTIFS(Grunnspill!$A:$A,Annex!F157)</f>
        <v>0</v>
      </c>
      <c r="P157">
        <f>COUNTIFS(Grunnspill!$A:$A,Annex!G157)</f>
        <v>0</v>
      </c>
      <c r="Q157">
        <f>COUNTIFS(Grunnspill!$A:$A,Annex!H157)</f>
        <v>0</v>
      </c>
      <c r="R157">
        <f>COUNTIFS(Grunnspill!$A:$A,Annex!I157)</f>
        <v>0</v>
      </c>
    </row>
    <row r="158" spans="1:18" x14ac:dyDescent="0.2">
      <c r="A158">
        <v>155</v>
      </c>
      <c r="B158" s="1" t="s">
        <v>111</v>
      </c>
      <c r="C158" s="1" t="s">
        <v>103</v>
      </c>
      <c r="D158" s="1" t="s">
        <v>112</v>
      </c>
      <c r="E158" s="1" t="s">
        <v>110</v>
      </c>
      <c r="F158" s="1" t="s">
        <v>106</v>
      </c>
      <c r="G158" s="1" t="s">
        <v>105</v>
      </c>
      <c r="H158" s="1" t="s">
        <v>102</v>
      </c>
      <c r="I158" s="1" t="s">
        <v>104</v>
      </c>
      <c r="J158">
        <f t="shared" si="5"/>
        <v>0</v>
      </c>
      <c r="K158">
        <f>COUNTIFS(Grunnspill!$A:$A,Annex!B158)</f>
        <v>0</v>
      </c>
      <c r="L158">
        <f>COUNTIFS(Grunnspill!$A:$A,Annex!C158)</f>
        <v>0</v>
      </c>
      <c r="M158">
        <f>COUNTIFS(Grunnspill!$A:$A,Annex!D158)</f>
        <v>0</v>
      </c>
      <c r="N158">
        <f>COUNTIFS(Grunnspill!$A:$A,Annex!E158)</f>
        <v>0</v>
      </c>
      <c r="O158">
        <f>COUNTIFS(Grunnspill!$A:$A,Annex!F158)</f>
        <v>0</v>
      </c>
      <c r="P158">
        <f>COUNTIFS(Grunnspill!$A:$A,Annex!G158)</f>
        <v>0</v>
      </c>
      <c r="Q158">
        <f>COUNTIFS(Grunnspill!$A:$A,Annex!H158)</f>
        <v>0</v>
      </c>
      <c r="R158">
        <f>COUNTIFS(Grunnspill!$A:$A,Annex!I158)</f>
        <v>0</v>
      </c>
    </row>
    <row r="159" spans="1:18" x14ac:dyDescent="0.2">
      <c r="A159">
        <v>156</v>
      </c>
      <c r="B159" s="1" t="s">
        <v>111</v>
      </c>
      <c r="C159" s="1" t="s">
        <v>107</v>
      </c>
      <c r="D159" s="1" t="s">
        <v>112</v>
      </c>
      <c r="E159" s="1" t="s">
        <v>110</v>
      </c>
      <c r="F159" s="1" t="s">
        <v>102</v>
      </c>
      <c r="G159" s="1" t="s">
        <v>105</v>
      </c>
      <c r="H159" s="1" t="s">
        <v>108</v>
      </c>
      <c r="I159" s="1" t="s">
        <v>109</v>
      </c>
      <c r="J159">
        <f t="shared" si="5"/>
        <v>0</v>
      </c>
      <c r="K159">
        <f>COUNTIFS(Grunnspill!$A:$A,Annex!B159)</f>
        <v>0</v>
      </c>
      <c r="L159">
        <f>COUNTIFS(Grunnspill!$A:$A,Annex!C159)</f>
        <v>0</v>
      </c>
      <c r="M159">
        <f>COUNTIFS(Grunnspill!$A:$A,Annex!D159)</f>
        <v>0</v>
      </c>
      <c r="N159">
        <f>COUNTIFS(Grunnspill!$A:$A,Annex!E159)</f>
        <v>0</v>
      </c>
      <c r="O159">
        <f>COUNTIFS(Grunnspill!$A:$A,Annex!F159)</f>
        <v>0</v>
      </c>
      <c r="P159">
        <f>COUNTIFS(Grunnspill!$A:$A,Annex!G159)</f>
        <v>0</v>
      </c>
      <c r="Q159">
        <f>COUNTIFS(Grunnspill!$A:$A,Annex!H159)</f>
        <v>0</v>
      </c>
      <c r="R159">
        <f>COUNTIFS(Grunnspill!$A:$A,Annex!I159)</f>
        <v>0</v>
      </c>
    </row>
    <row r="160" spans="1:18" x14ac:dyDescent="0.2">
      <c r="A160">
        <v>157</v>
      </c>
      <c r="B160" s="1" t="s">
        <v>111</v>
      </c>
      <c r="C160" s="1" t="s">
        <v>107</v>
      </c>
      <c r="D160" s="1" t="s">
        <v>112</v>
      </c>
      <c r="E160" s="1" t="s">
        <v>110</v>
      </c>
      <c r="F160" s="1" t="s">
        <v>103</v>
      </c>
      <c r="G160" s="1" t="s">
        <v>105</v>
      </c>
      <c r="H160" s="1" t="s">
        <v>108</v>
      </c>
      <c r="I160" s="1" t="s">
        <v>102</v>
      </c>
      <c r="J160">
        <f t="shared" si="5"/>
        <v>0</v>
      </c>
      <c r="K160">
        <f>COUNTIFS(Grunnspill!$A:$A,Annex!B160)</f>
        <v>0</v>
      </c>
      <c r="L160">
        <f>COUNTIFS(Grunnspill!$A:$A,Annex!C160)</f>
        <v>0</v>
      </c>
      <c r="M160">
        <f>COUNTIFS(Grunnspill!$A:$A,Annex!D160)</f>
        <v>0</v>
      </c>
      <c r="N160">
        <f>COUNTIFS(Grunnspill!$A:$A,Annex!E160)</f>
        <v>0</v>
      </c>
      <c r="O160">
        <f>COUNTIFS(Grunnspill!$A:$A,Annex!F160)</f>
        <v>0</v>
      </c>
      <c r="P160">
        <f>COUNTIFS(Grunnspill!$A:$A,Annex!G160)</f>
        <v>0</v>
      </c>
      <c r="Q160">
        <f>COUNTIFS(Grunnspill!$A:$A,Annex!H160)</f>
        <v>0</v>
      </c>
      <c r="R160">
        <f>COUNTIFS(Grunnspill!$A:$A,Annex!I160)</f>
        <v>0</v>
      </c>
    </row>
    <row r="161" spans="1:18" x14ac:dyDescent="0.2">
      <c r="A161">
        <v>158</v>
      </c>
      <c r="B161" s="1" t="s">
        <v>111</v>
      </c>
      <c r="C161" s="1" t="s">
        <v>107</v>
      </c>
      <c r="D161" s="1" t="s">
        <v>112</v>
      </c>
      <c r="E161" s="1" t="s">
        <v>110</v>
      </c>
      <c r="F161" s="1" t="s">
        <v>103</v>
      </c>
      <c r="G161" s="1" t="s">
        <v>105</v>
      </c>
      <c r="H161" s="1" t="s">
        <v>102</v>
      </c>
      <c r="I161" s="1" t="s">
        <v>109</v>
      </c>
      <c r="J161">
        <f t="shared" si="5"/>
        <v>0</v>
      </c>
      <c r="K161">
        <f>COUNTIFS(Grunnspill!$A:$A,Annex!B161)</f>
        <v>0</v>
      </c>
      <c r="L161">
        <f>COUNTIFS(Grunnspill!$A:$A,Annex!C161)</f>
        <v>0</v>
      </c>
      <c r="M161">
        <f>COUNTIFS(Grunnspill!$A:$A,Annex!D161)</f>
        <v>0</v>
      </c>
      <c r="N161">
        <f>COUNTIFS(Grunnspill!$A:$A,Annex!E161)</f>
        <v>0</v>
      </c>
      <c r="O161">
        <f>COUNTIFS(Grunnspill!$A:$A,Annex!F161)</f>
        <v>0</v>
      </c>
      <c r="P161">
        <f>COUNTIFS(Grunnspill!$A:$A,Annex!G161)</f>
        <v>0</v>
      </c>
      <c r="Q161">
        <f>COUNTIFS(Grunnspill!$A:$A,Annex!H161)</f>
        <v>0</v>
      </c>
      <c r="R161">
        <f>COUNTIFS(Grunnspill!$A:$A,Annex!I161)</f>
        <v>0</v>
      </c>
    </row>
    <row r="162" spans="1:18" x14ac:dyDescent="0.2">
      <c r="A162">
        <v>159</v>
      </c>
      <c r="B162" s="1" t="s">
        <v>111</v>
      </c>
      <c r="C162" s="1" t="s">
        <v>107</v>
      </c>
      <c r="D162" s="1" t="s">
        <v>112</v>
      </c>
      <c r="E162" s="1" t="s">
        <v>110</v>
      </c>
      <c r="F162" s="1" t="s">
        <v>102</v>
      </c>
      <c r="G162" s="1" t="s">
        <v>105</v>
      </c>
      <c r="H162" s="1" t="s">
        <v>108</v>
      </c>
      <c r="I162" s="1" t="s">
        <v>104</v>
      </c>
      <c r="J162">
        <f t="shared" si="5"/>
        <v>0</v>
      </c>
      <c r="K162">
        <f>COUNTIFS(Grunnspill!$A:$A,Annex!B162)</f>
        <v>0</v>
      </c>
      <c r="L162">
        <f>COUNTIFS(Grunnspill!$A:$A,Annex!C162)</f>
        <v>0</v>
      </c>
      <c r="M162">
        <f>COUNTIFS(Grunnspill!$A:$A,Annex!D162)</f>
        <v>0</v>
      </c>
      <c r="N162">
        <f>COUNTIFS(Grunnspill!$A:$A,Annex!E162)</f>
        <v>0</v>
      </c>
      <c r="O162">
        <f>COUNTIFS(Grunnspill!$A:$A,Annex!F162)</f>
        <v>0</v>
      </c>
      <c r="P162">
        <f>COUNTIFS(Grunnspill!$A:$A,Annex!G162)</f>
        <v>0</v>
      </c>
      <c r="Q162">
        <f>COUNTIFS(Grunnspill!$A:$A,Annex!H162)</f>
        <v>0</v>
      </c>
      <c r="R162">
        <f>COUNTIFS(Grunnspill!$A:$A,Annex!I162)</f>
        <v>0</v>
      </c>
    </row>
    <row r="163" spans="1:18" x14ac:dyDescent="0.2">
      <c r="A163">
        <v>160</v>
      </c>
      <c r="B163" s="1" t="s">
        <v>111</v>
      </c>
      <c r="C163" s="1" t="s">
        <v>107</v>
      </c>
      <c r="D163" s="1" t="s">
        <v>112</v>
      </c>
      <c r="E163" s="1" t="s">
        <v>110</v>
      </c>
      <c r="F163" s="1" t="s">
        <v>102</v>
      </c>
      <c r="G163" s="1" t="s">
        <v>105</v>
      </c>
      <c r="H163" s="1" t="s">
        <v>104</v>
      </c>
      <c r="I163" s="1" t="s">
        <v>109</v>
      </c>
      <c r="J163">
        <f t="shared" si="5"/>
        <v>0</v>
      </c>
      <c r="K163">
        <f>COUNTIFS(Grunnspill!$A:$A,Annex!B163)</f>
        <v>0</v>
      </c>
      <c r="L163">
        <f>COUNTIFS(Grunnspill!$A:$A,Annex!C163)</f>
        <v>0</v>
      </c>
      <c r="M163">
        <f>COUNTIFS(Grunnspill!$A:$A,Annex!D163)</f>
        <v>0</v>
      </c>
      <c r="N163">
        <f>COUNTIFS(Grunnspill!$A:$A,Annex!E163)</f>
        <v>0</v>
      </c>
      <c r="O163">
        <f>COUNTIFS(Grunnspill!$A:$A,Annex!F163)</f>
        <v>0</v>
      </c>
      <c r="P163">
        <f>COUNTIFS(Grunnspill!$A:$A,Annex!G163)</f>
        <v>0</v>
      </c>
      <c r="Q163">
        <f>COUNTIFS(Grunnspill!$A:$A,Annex!H163)</f>
        <v>0</v>
      </c>
      <c r="R163">
        <f>COUNTIFS(Grunnspill!$A:$A,Annex!I163)</f>
        <v>0</v>
      </c>
    </row>
    <row r="164" spans="1:18" x14ac:dyDescent="0.2">
      <c r="A164">
        <v>161</v>
      </c>
      <c r="B164" s="1" t="s">
        <v>111</v>
      </c>
      <c r="C164" s="1" t="s">
        <v>107</v>
      </c>
      <c r="D164" s="1" t="s">
        <v>112</v>
      </c>
      <c r="E164" s="1" t="s">
        <v>110</v>
      </c>
      <c r="F164" s="1" t="s">
        <v>103</v>
      </c>
      <c r="G164" s="1" t="s">
        <v>105</v>
      </c>
      <c r="H164" s="1" t="s">
        <v>102</v>
      </c>
      <c r="I164" s="1" t="s">
        <v>104</v>
      </c>
      <c r="J164">
        <f t="shared" si="5"/>
        <v>0</v>
      </c>
      <c r="K164">
        <f>COUNTIFS(Grunnspill!$A:$A,Annex!B164)</f>
        <v>0</v>
      </c>
      <c r="L164">
        <f>COUNTIFS(Grunnspill!$A:$A,Annex!C164)</f>
        <v>0</v>
      </c>
      <c r="M164">
        <f>COUNTIFS(Grunnspill!$A:$A,Annex!D164)</f>
        <v>0</v>
      </c>
      <c r="N164">
        <f>COUNTIFS(Grunnspill!$A:$A,Annex!E164)</f>
        <v>0</v>
      </c>
      <c r="O164">
        <f>COUNTIFS(Grunnspill!$A:$A,Annex!F164)</f>
        <v>0</v>
      </c>
      <c r="P164">
        <f>COUNTIFS(Grunnspill!$A:$A,Annex!G164)</f>
        <v>0</v>
      </c>
      <c r="Q164">
        <f>COUNTIFS(Grunnspill!$A:$A,Annex!H164)</f>
        <v>0</v>
      </c>
      <c r="R164">
        <f>COUNTIFS(Grunnspill!$A:$A,Annex!I164)</f>
        <v>0</v>
      </c>
    </row>
    <row r="165" spans="1:18" x14ac:dyDescent="0.2">
      <c r="A165">
        <v>162</v>
      </c>
      <c r="B165" s="1" t="s">
        <v>111</v>
      </c>
      <c r="C165" s="1" t="s">
        <v>107</v>
      </c>
      <c r="D165" s="1" t="s">
        <v>112</v>
      </c>
      <c r="E165" s="1" t="s">
        <v>110</v>
      </c>
      <c r="F165" s="1" t="s">
        <v>106</v>
      </c>
      <c r="G165" s="1" t="s">
        <v>105</v>
      </c>
      <c r="H165" s="1" t="s">
        <v>108</v>
      </c>
      <c r="I165" s="1" t="s">
        <v>102</v>
      </c>
      <c r="J165">
        <f t="shared" si="5"/>
        <v>0</v>
      </c>
      <c r="K165">
        <f>COUNTIFS(Grunnspill!$A:$A,Annex!B165)</f>
        <v>0</v>
      </c>
      <c r="L165">
        <f>COUNTIFS(Grunnspill!$A:$A,Annex!C165)</f>
        <v>0</v>
      </c>
      <c r="M165">
        <f>COUNTIFS(Grunnspill!$A:$A,Annex!D165)</f>
        <v>0</v>
      </c>
      <c r="N165">
        <f>COUNTIFS(Grunnspill!$A:$A,Annex!E165)</f>
        <v>0</v>
      </c>
      <c r="O165">
        <f>COUNTIFS(Grunnspill!$A:$A,Annex!F165)</f>
        <v>0</v>
      </c>
      <c r="P165">
        <f>COUNTIFS(Grunnspill!$A:$A,Annex!G165)</f>
        <v>0</v>
      </c>
      <c r="Q165">
        <f>COUNTIFS(Grunnspill!$A:$A,Annex!H165)</f>
        <v>0</v>
      </c>
      <c r="R165">
        <f>COUNTIFS(Grunnspill!$A:$A,Annex!I165)</f>
        <v>0</v>
      </c>
    </row>
    <row r="166" spans="1:18" x14ac:dyDescent="0.2">
      <c r="A166">
        <v>163</v>
      </c>
      <c r="B166" s="1" t="s">
        <v>111</v>
      </c>
      <c r="C166" s="1" t="s">
        <v>107</v>
      </c>
      <c r="D166" s="1" t="s">
        <v>112</v>
      </c>
      <c r="E166" s="1" t="s">
        <v>110</v>
      </c>
      <c r="F166" s="1" t="s">
        <v>106</v>
      </c>
      <c r="G166" s="1" t="s">
        <v>105</v>
      </c>
      <c r="H166" s="1" t="s">
        <v>102</v>
      </c>
      <c r="I166" s="1" t="s">
        <v>109</v>
      </c>
      <c r="J166">
        <f t="shared" si="5"/>
        <v>0</v>
      </c>
      <c r="K166">
        <f>COUNTIFS(Grunnspill!$A:$A,Annex!B166)</f>
        <v>0</v>
      </c>
      <c r="L166">
        <f>COUNTIFS(Grunnspill!$A:$A,Annex!C166)</f>
        <v>0</v>
      </c>
      <c r="M166">
        <f>COUNTIFS(Grunnspill!$A:$A,Annex!D166)</f>
        <v>0</v>
      </c>
      <c r="N166">
        <f>COUNTIFS(Grunnspill!$A:$A,Annex!E166)</f>
        <v>0</v>
      </c>
      <c r="O166">
        <f>COUNTIFS(Grunnspill!$A:$A,Annex!F166)</f>
        <v>0</v>
      </c>
      <c r="P166">
        <f>COUNTIFS(Grunnspill!$A:$A,Annex!G166)</f>
        <v>0</v>
      </c>
      <c r="Q166">
        <f>COUNTIFS(Grunnspill!$A:$A,Annex!H166)</f>
        <v>0</v>
      </c>
      <c r="R166">
        <f>COUNTIFS(Grunnspill!$A:$A,Annex!I166)</f>
        <v>0</v>
      </c>
    </row>
    <row r="167" spans="1:18" x14ac:dyDescent="0.2">
      <c r="A167">
        <v>164</v>
      </c>
      <c r="B167" s="1" t="s">
        <v>106</v>
      </c>
      <c r="C167" s="1" t="s">
        <v>107</v>
      </c>
      <c r="D167" s="1" t="s">
        <v>112</v>
      </c>
      <c r="E167" s="1" t="s">
        <v>111</v>
      </c>
      <c r="F167" s="1" t="s">
        <v>103</v>
      </c>
      <c r="G167" s="1" t="s">
        <v>105</v>
      </c>
      <c r="H167" s="1" t="s">
        <v>110</v>
      </c>
      <c r="I167" s="1" t="s">
        <v>102</v>
      </c>
      <c r="J167">
        <f t="shared" si="5"/>
        <v>0</v>
      </c>
      <c r="K167">
        <f>COUNTIFS(Grunnspill!$A:$A,Annex!B167)</f>
        <v>0</v>
      </c>
      <c r="L167">
        <f>COUNTIFS(Grunnspill!$A:$A,Annex!C167)</f>
        <v>0</v>
      </c>
      <c r="M167">
        <f>COUNTIFS(Grunnspill!$A:$A,Annex!D167)</f>
        <v>0</v>
      </c>
      <c r="N167">
        <f>COUNTIFS(Grunnspill!$A:$A,Annex!E167)</f>
        <v>0</v>
      </c>
      <c r="O167">
        <f>COUNTIFS(Grunnspill!$A:$A,Annex!F167)</f>
        <v>0</v>
      </c>
      <c r="P167">
        <f>COUNTIFS(Grunnspill!$A:$A,Annex!G167)</f>
        <v>0</v>
      </c>
      <c r="Q167">
        <f>COUNTIFS(Grunnspill!$A:$A,Annex!H167)</f>
        <v>0</v>
      </c>
      <c r="R167">
        <f>COUNTIFS(Grunnspill!$A:$A,Annex!I167)</f>
        <v>0</v>
      </c>
    </row>
    <row r="168" spans="1:18" x14ac:dyDescent="0.2">
      <c r="A168">
        <v>165</v>
      </c>
      <c r="B168" s="1" t="s">
        <v>111</v>
      </c>
      <c r="C168" s="1" t="s">
        <v>107</v>
      </c>
      <c r="D168" s="1" t="s">
        <v>112</v>
      </c>
      <c r="E168" s="1" t="s">
        <v>110</v>
      </c>
      <c r="F168" s="1" t="s">
        <v>106</v>
      </c>
      <c r="G168" s="1" t="s">
        <v>105</v>
      </c>
      <c r="H168" s="1" t="s">
        <v>102</v>
      </c>
      <c r="I168" s="1" t="s">
        <v>104</v>
      </c>
      <c r="J168">
        <f t="shared" si="5"/>
        <v>0</v>
      </c>
      <c r="K168">
        <f>COUNTIFS(Grunnspill!$A:$A,Annex!B168)</f>
        <v>0</v>
      </c>
      <c r="L168">
        <f>COUNTIFS(Grunnspill!$A:$A,Annex!C168)</f>
        <v>0</v>
      </c>
      <c r="M168">
        <f>COUNTIFS(Grunnspill!$A:$A,Annex!D168)</f>
        <v>0</v>
      </c>
      <c r="N168">
        <f>COUNTIFS(Grunnspill!$A:$A,Annex!E168)</f>
        <v>0</v>
      </c>
      <c r="O168">
        <f>COUNTIFS(Grunnspill!$A:$A,Annex!F168)</f>
        <v>0</v>
      </c>
      <c r="P168">
        <f>COUNTIFS(Grunnspill!$A:$A,Annex!G168)</f>
        <v>0</v>
      </c>
      <c r="Q168">
        <f>COUNTIFS(Grunnspill!$A:$A,Annex!H168)</f>
        <v>0</v>
      </c>
      <c r="R168">
        <f>COUNTIFS(Grunnspill!$A:$A,Annex!I168)</f>
        <v>0</v>
      </c>
    </row>
    <row r="169" spans="1:18" x14ac:dyDescent="0.2">
      <c r="A169">
        <v>166</v>
      </c>
      <c r="B169" s="1" t="s">
        <v>106</v>
      </c>
      <c r="C169" s="1" t="s">
        <v>103</v>
      </c>
      <c r="D169" s="1" t="s">
        <v>104</v>
      </c>
      <c r="E169" s="1" t="s">
        <v>105</v>
      </c>
      <c r="F169" s="1" t="s">
        <v>113</v>
      </c>
      <c r="G169" s="1" t="s">
        <v>107</v>
      </c>
      <c r="H169" s="1" t="s">
        <v>108</v>
      </c>
      <c r="I169" s="1" t="s">
        <v>109</v>
      </c>
      <c r="J169">
        <f t="shared" si="5"/>
        <v>0</v>
      </c>
      <c r="K169">
        <f>COUNTIFS(Grunnspill!$A:$A,Annex!B169)</f>
        <v>0</v>
      </c>
      <c r="L169">
        <f>COUNTIFS(Grunnspill!$A:$A,Annex!C169)</f>
        <v>0</v>
      </c>
      <c r="M169">
        <f>COUNTIFS(Grunnspill!$A:$A,Annex!D169)</f>
        <v>0</v>
      </c>
      <c r="N169">
        <f>COUNTIFS(Grunnspill!$A:$A,Annex!E169)</f>
        <v>0</v>
      </c>
      <c r="O169">
        <f>COUNTIFS(Grunnspill!$A:$A,Annex!F169)</f>
        <v>0</v>
      </c>
      <c r="P169">
        <f>COUNTIFS(Grunnspill!$A:$A,Annex!G169)</f>
        <v>0</v>
      </c>
      <c r="Q169">
        <f>COUNTIFS(Grunnspill!$A:$A,Annex!H169)</f>
        <v>0</v>
      </c>
      <c r="R169">
        <f>COUNTIFS(Grunnspill!$A:$A,Annex!I169)</f>
        <v>0</v>
      </c>
    </row>
    <row r="170" spans="1:18" x14ac:dyDescent="0.2">
      <c r="A170">
        <v>167</v>
      </c>
      <c r="B170" s="1" t="s">
        <v>102</v>
      </c>
      <c r="C170" s="1" t="s">
        <v>103</v>
      </c>
      <c r="D170" s="1" t="s">
        <v>104</v>
      </c>
      <c r="E170" s="1" t="s">
        <v>113</v>
      </c>
      <c r="F170" s="1" t="s">
        <v>106</v>
      </c>
      <c r="G170" s="1" t="s">
        <v>107</v>
      </c>
      <c r="H170" s="1" t="s">
        <v>108</v>
      </c>
      <c r="I170" s="1" t="s">
        <v>109</v>
      </c>
      <c r="J170">
        <f t="shared" si="5"/>
        <v>0</v>
      </c>
      <c r="K170">
        <f>COUNTIFS(Grunnspill!$A:$A,Annex!B170)</f>
        <v>0</v>
      </c>
      <c r="L170">
        <f>COUNTIFS(Grunnspill!$A:$A,Annex!C170)</f>
        <v>0</v>
      </c>
      <c r="M170">
        <f>COUNTIFS(Grunnspill!$A:$A,Annex!D170)</f>
        <v>0</v>
      </c>
      <c r="N170">
        <f>COUNTIFS(Grunnspill!$A:$A,Annex!E170)</f>
        <v>0</v>
      </c>
      <c r="O170">
        <f>COUNTIFS(Grunnspill!$A:$A,Annex!F170)</f>
        <v>0</v>
      </c>
      <c r="P170">
        <f>COUNTIFS(Grunnspill!$A:$A,Annex!G170)</f>
        <v>0</v>
      </c>
      <c r="Q170">
        <f>COUNTIFS(Grunnspill!$A:$A,Annex!H170)</f>
        <v>0</v>
      </c>
      <c r="R170">
        <f>COUNTIFS(Grunnspill!$A:$A,Annex!I170)</f>
        <v>0</v>
      </c>
    </row>
    <row r="171" spans="1:18" x14ac:dyDescent="0.2">
      <c r="A171">
        <v>168</v>
      </c>
      <c r="B171" s="1" t="s">
        <v>102</v>
      </c>
      <c r="C171" s="1" t="s">
        <v>103</v>
      </c>
      <c r="D171" s="1" t="s">
        <v>104</v>
      </c>
      <c r="E171" s="1" t="s">
        <v>105</v>
      </c>
      <c r="F171" s="1" t="s">
        <v>113</v>
      </c>
      <c r="G171" s="1" t="s">
        <v>106</v>
      </c>
      <c r="H171" s="1" t="s">
        <v>108</v>
      </c>
      <c r="I171" s="1" t="s">
        <v>109</v>
      </c>
      <c r="J171">
        <f t="shared" si="5"/>
        <v>0</v>
      </c>
      <c r="K171">
        <f>COUNTIFS(Grunnspill!$A:$A,Annex!B171)</f>
        <v>0</v>
      </c>
      <c r="L171">
        <f>COUNTIFS(Grunnspill!$A:$A,Annex!C171)</f>
        <v>0</v>
      </c>
      <c r="M171">
        <f>COUNTIFS(Grunnspill!$A:$A,Annex!D171)</f>
        <v>0</v>
      </c>
      <c r="N171">
        <f>COUNTIFS(Grunnspill!$A:$A,Annex!E171)</f>
        <v>0</v>
      </c>
      <c r="O171">
        <f>COUNTIFS(Grunnspill!$A:$A,Annex!F171)</f>
        <v>0</v>
      </c>
      <c r="P171">
        <f>COUNTIFS(Grunnspill!$A:$A,Annex!G171)</f>
        <v>0</v>
      </c>
      <c r="Q171">
        <f>COUNTIFS(Grunnspill!$A:$A,Annex!H171)</f>
        <v>0</v>
      </c>
      <c r="R171">
        <f>COUNTIFS(Grunnspill!$A:$A,Annex!I171)</f>
        <v>0</v>
      </c>
    </row>
    <row r="172" spans="1:18" x14ac:dyDescent="0.2">
      <c r="A172">
        <v>169</v>
      </c>
      <c r="B172" s="1" t="s">
        <v>102</v>
      </c>
      <c r="C172" s="1" t="s">
        <v>103</v>
      </c>
      <c r="D172" s="1" t="s">
        <v>104</v>
      </c>
      <c r="E172" s="1" t="s">
        <v>105</v>
      </c>
      <c r="F172" s="1" t="s">
        <v>113</v>
      </c>
      <c r="G172" s="1" t="s">
        <v>107</v>
      </c>
      <c r="H172" s="1" t="s">
        <v>108</v>
      </c>
      <c r="I172" s="1" t="s">
        <v>109</v>
      </c>
      <c r="J172">
        <f t="shared" si="5"/>
        <v>0</v>
      </c>
      <c r="K172">
        <f>COUNTIFS(Grunnspill!$A:$A,Annex!B172)</f>
        <v>0</v>
      </c>
      <c r="L172">
        <f>COUNTIFS(Grunnspill!$A:$A,Annex!C172)</f>
        <v>0</v>
      </c>
      <c r="M172">
        <f>COUNTIFS(Grunnspill!$A:$A,Annex!D172)</f>
        <v>0</v>
      </c>
      <c r="N172">
        <f>COUNTIFS(Grunnspill!$A:$A,Annex!E172)</f>
        <v>0</v>
      </c>
      <c r="O172">
        <f>COUNTIFS(Grunnspill!$A:$A,Annex!F172)</f>
        <v>0</v>
      </c>
      <c r="P172">
        <f>COUNTIFS(Grunnspill!$A:$A,Annex!G172)</f>
        <v>0</v>
      </c>
      <c r="Q172">
        <f>COUNTIFS(Grunnspill!$A:$A,Annex!H172)</f>
        <v>0</v>
      </c>
      <c r="R172">
        <f>COUNTIFS(Grunnspill!$A:$A,Annex!I172)</f>
        <v>0</v>
      </c>
    </row>
    <row r="173" spans="1:18" x14ac:dyDescent="0.2">
      <c r="A173">
        <v>170</v>
      </c>
      <c r="B173" s="1" t="s">
        <v>102</v>
      </c>
      <c r="C173" s="1" t="s">
        <v>107</v>
      </c>
      <c r="D173" s="1" t="s">
        <v>103</v>
      </c>
      <c r="E173" s="1" t="s">
        <v>105</v>
      </c>
      <c r="F173" s="1" t="s">
        <v>113</v>
      </c>
      <c r="G173" s="1" t="s">
        <v>106</v>
      </c>
      <c r="H173" s="1" t="s">
        <v>108</v>
      </c>
      <c r="I173" s="1" t="s">
        <v>109</v>
      </c>
      <c r="J173">
        <f t="shared" si="5"/>
        <v>0</v>
      </c>
      <c r="K173">
        <f>COUNTIFS(Grunnspill!$A:$A,Annex!B173)</f>
        <v>0</v>
      </c>
      <c r="L173">
        <f>COUNTIFS(Grunnspill!$A:$A,Annex!C173)</f>
        <v>0</v>
      </c>
      <c r="M173">
        <f>COUNTIFS(Grunnspill!$A:$A,Annex!D173)</f>
        <v>0</v>
      </c>
      <c r="N173">
        <f>COUNTIFS(Grunnspill!$A:$A,Annex!E173)</f>
        <v>0</v>
      </c>
      <c r="O173">
        <f>COUNTIFS(Grunnspill!$A:$A,Annex!F173)</f>
        <v>0</v>
      </c>
      <c r="P173">
        <f>COUNTIFS(Grunnspill!$A:$A,Annex!G173)</f>
        <v>0</v>
      </c>
      <c r="Q173">
        <f>COUNTIFS(Grunnspill!$A:$A,Annex!H173)</f>
        <v>0</v>
      </c>
      <c r="R173">
        <f>COUNTIFS(Grunnspill!$A:$A,Annex!I173)</f>
        <v>0</v>
      </c>
    </row>
    <row r="174" spans="1:18" x14ac:dyDescent="0.2">
      <c r="A174">
        <v>171</v>
      </c>
      <c r="B174" s="1" t="s">
        <v>102</v>
      </c>
      <c r="C174" s="1" t="s">
        <v>107</v>
      </c>
      <c r="D174" s="1" t="s">
        <v>104</v>
      </c>
      <c r="E174" s="1" t="s">
        <v>105</v>
      </c>
      <c r="F174" s="1" t="s">
        <v>113</v>
      </c>
      <c r="G174" s="1" t="s">
        <v>106</v>
      </c>
      <c r="H174" s="1" t="s">
        <v>108</v>
      </c>
      <c r="I174" s="1" t="s">
        <v>109</v>
      </c>
      <c r="J174">
        <f t="shared" si="5"/>
        <v>0</v>
      </c>
      <c r="K174">
        <f>COUNTIFS(Grunnspill!$A:$A,Annex!B174)</f>
        <v>0</v>
      </c>
      <c r="L174">
        <f>COUNTIFS(Grunnspill!$A:$A,Annex!C174)</f>
        <v>0</v>
      </c>
      <c r="M174">
        <f>COUNTIFS(Grunnspill!$A:$A,Annex!D174)</f>
        <v>0</v>
      </c>
      <c r="N174">
        <f>COUNTIFS(Grunnspill!$A:$A,Annex!E174)</f>
        <v>0</v>
      </c>
      <c r="O174">
        <f>COUNTIFS(Grunnspill!$A:$A,Annex!F174)</f>
        <v>0</v>
      </c>
      <c r="P174">
        <f>COUNTIFS(Grunnspill!$A:$A,Annex!G174)</f>
        <v>0</v>
      </c>
      <c r="Q174">
        <f>COUNTIFS(Grunnspill!$A:$A,Annex!H174)</f>
        <v>0</v>
      </c>
      <c r="R174">
        <f>COUNTIFS(Grunnspill!$A:$A,Annex!I174)</f>
        <v>0</v>
      </c>
    </row>
    <row r="175" spans="1:18" x14ac:dyDescent="0.2">
      <c r="A175">
        <v>172</v>
      </c>
      <c r="B175" s="1" t="s">
        <v>102</v>
      </c>
      <c r="C175" s="1" t="s">
        <v>107</v>
      </c>
      <c r="D175" s="1" t="s">
        <v>103</v>
      </c>
      <c r="E175" s="1" t="s">
        <v>105</v>
      </c>
      <c r="F175" s="1" t="s">
        <v>113</v>
      </c>
      <c r="G175" s="1" t="s">
        <v>106</v>
      </c>
      <c r="H175" s="1" t="s">
        <v>108</v>
      </c>
      <c r="I175" s="1" t="s">
        <v>104</v>
      </c>
      <c r="J175">
        <f t="shared" si="5"/>
        <v>0</v>
      </c>
      <c r="K175">
        <f>COUNTIFS(Grunnspill!$A:$A,Annex!B175)</f>
        <v>0</v>
      </c>
      <c r="L175">
        <f>COUNTIFS(Grunnspill!$A:$A,Annex!C175)</f>
        <v>0</v>
      </c>
      <c r="M175">
        <f>COUNTIFS(Grunnspill!$A:$A,Annex!D175)</f>
        <v>0</v>
      </c>
      <c r="N175">
        <f>COUNTIFS(Grunnspill!$A:$A,Annex!E175)</f>
        <v>0</v>
      </c>
      <c r="O175">
        <f>COUNTIFS(Grunnspill!$A:$A,Annex!F175)</f>
        <v>0</v>
      </c>
      <c r="P175">
        <f>COUNTIFS(Grunnspill!$A:$A,Annex!G175)</f>
        <v>0</v>
      </c>
      <c r="Q175">
        <f>COUNTIFS(Grunnspill!$A:$A,Annex!H175)</f>
        <v>0</v>
      </c>
      <c r="R175">
        <f>COUNTIFS(Grunnspill!$A:$A,Annex!I175)</f>
        <v>0</v>
      </c>
    </row>
    <row r="176" spans="1:18" x14ac:dyDescent="0.2">
      <c r="A176">
        <v>173</v>
      </c>
      <c r="B176" s="1" t="s">
        <v>102</v>
      </c>
      <c r="C176" s="1" t="s">
        <v>107</v>
      </c>
      <c r="D176" s="1" t="s">
        <v>103</v>
      </c>
      <c r="E176" s="1" t="s">
        <v>105</v>
      </c>
      <c r="F176" s="1" t="s">
        <v>113</v>
      </c>
      <c r="G176" s="1" t="s">
        <v>106</v>
      </c>
      <c r="H176" s="1" t="s">
        <v>104</v>
      </c>
      <c r="I176" s="1" t="s">
        <v>109</v>
      </c>
      <c r="J176">
        <f t="shared" si="5"/>
        <v>0</v>
      </c>
      <c r="K176">
        <f>COUNTIFS(Grunnspill!$A:$A,Annex!B176)</f>
        <v>0</v>
      </c>
      <c r="L176">
        <f>COUNTIFS(Grunnspill!$A:$A,Annex!C176)</f>
        <v>0</v>
      </c>
      <c r="M176">
        <f>COUNTIFS(Grunnspill!$A:$A,Annex!D176)</f>
        <v>0</v>
      </c>
      <c r="N176">
        <f>COUNTIFS(Grunnspill!$A:$A,Annex!E176)</f>
        <v>0</v>
      </c>
      <c r="O176">
        <f>COUNTIFS(Grunnspill!$A:$A,Annex!F176)</f>
        <v>0</v>
      </c>
      <c r="P176">
        <f>COUNTIFS(Grunnspill!$A:$A,Annex!G176)</f>
        <v>0</v>
      </c>
      <c r="Q176">
        <f>COUNTIFS(Grunnspill!$A:$A,Annex!H176)</f>
        <v>0</v>
      </c>
      <c r="R176">
        <f>COUNTIFS(Grunnspill!$A:$A,Annex!I176)</f>
        <v>0</v>
      </c>
    </row>
    <row r="177" spans="1:18" x14ac:dyDescent="0.2">
      <c r="A177">
        <v>174</v>
      </c>
      <c r="B177" s="1" t="s">
        <v>106</v>
      </c>
      <c r="C177" s="1" t="s">
        <v>103</v>
      </c>
      <c r="D177" s="1" t="s">
        <v>104</v>
      </c>
      <c r="E177" s="1" t="s">
        <v>110</v>
      </c>
      <c r="F177" s="1" t="s">
        <v>113</v>
      </c>
      <c r="G177" s="1" t="s">
        <v>107</v>
      </c>
      <c r="H177" s="1" t="s">
        <v>108</v>
      </c>
      <c r="I177" s="1" t="s">
        <v>109</v>
      </c>
      <c r="J177">
        <f t="shared" si="5"/>
        <v>0</v>
      </c>
      <c r="K177">
        <f>COUNTIFS(Grunnspill!$A:$A,Annex!B177)</f>
        <v>0</v>
      </c>
      <c r="L177">
        <f>COUNTIFS(Grunnspill!$A:$A,Annex!C177)</f>
        <v>0</v>
      </c>
      <c r="M177">
        <f>COUNTIFS(Grunnspill!$A:$A,Annex!D177)</f>
        <v>0</v>
      </c>
      <c r="N177">
        <f>COUNTIFS(Grunnspill!$A:$A,Annex!E177)</f>
        <v>0</v>
      </c>
      <c r="O177">
        <f>COUNTIFS(Grunnspill!$A:$A,Annex!F177)</f>
        <v>0</v>
      </c>
      <c r="P177">
        <f>COUNTIFS(Grunnspill!$A:$A,Annex!G177)</f>
        <v>0</v>
      </c>
      <c r="Q177">
        <f>COUNTIFS(Grunnspill!$A:$A,Annex!H177)</f>
        <v>0</v>
      </c>
      <c r="R177">
        <f>COUNTIFS(Grunnspill!$A:$A,Annex!I177)</f>
        <v>0</v>
      </c>
    </row>
    <row r="178" spans="1:18" x14ac:dyDescent="0.2">
      <c r="A178">
        <v>175</v>
      </c>
      <c r="B178" s="1" t="s">
        <v>106</v>
      </c>
      <c r="C178" s="1" t="s">
        <v>103</v>
      </c>
      <c r="D178" s="1" t="s">
        <v>104</v>
      </c>
      <c r="E178" s="1" t="s">
        <v>110</v>
      </c>
      <c r="F178" s="1" t="s">
        <v>113</v>
      </c>
      <c r="G178" s="1" t="s">
        <v>105</v>
      </c>
      <c r="H178" s="1" t="s">
        <v>108</v>
      </c>
      <c r="I178" s="1" t="s">
        <v>109</v>
      </c>
      <c r="J178">
        <f t="shared" si="5"/>
        <v>0</v>
      </c>
      <c r="K178">
        <f>COUNTIFS(Grunnspill!$A:$A,Annex!B178)</f>
        <v>0</v>
      </c>
      <c r="L178">
        <f>COUNTIFS(Grunnspill!$A:$A,Annex!C178)</f>
        <v>0</v>
      </c>
      <c r="M178">
        <f>COUNTIFS(Grunnspill!$A:$A,Annex!D178)</f>
        <v>0</v>
      </c>
      <c r="N178">
        <f>COUNTIFS(Grunnspill!$A:$A,Annex!E178)</f>
        <v>0</v>
      </c>
      <c r="O178">
        <f>COUNTIFS(Grunnspill!$A:$A,Annex!F178)</f>
        <v>0</v>
      </c>
      <c r="P178">
        <f>COUNTIFS(Grunnspill!$A:$A,Annex!G178)</f>
        <v>0</v>
      </c>
      <c r="Q178">
        <f>COUNTIFS(Grunnspill!$A:$A,Annex!H178)</f>
        <v>0</v>
      </c>
      <c r="R178">
        <f>COUNTIFS(Grunnspill!$A:$A,Annex!I178)</f>
        <v>0</v>
      </c>
    </row>
    <row r="179" spans="1:18" x14ac:dyDescent="0.2">
      <c r="A179">
        <v>176</v>
      </c>
      <c r="B179" s="1" t="s">
        <v>104</v>
      </c>
      <c r="C179" s="1" t="s">
        <v>107</v>
      </c>
      <c r="D179" s="1" t="s">
        <v>103</v>
      </c>
      <c r="E179" s="1" t="s">
        <v>110</v>
      </c>
      <c r="F179" s="1" t="s">
        <v>113</v>
      </c>
      <c r="G179" s="1" t="s">
        <v>105</v>
      </c>
      <c r="H179" s="1" t="s">
        <v>108</v>
      </c>
      <c r="I179" s="1" t="s">
        <v>109</v>
      </c>
      <c r="J179">
        <f t="shared" si="5"/>
        <v>0</v>
      </c>
      <c r="K179">
        <f>COUNTIFS(Grunnspill!$A:$A,Annex!B179)</f>
        <v>0</v>
      </c>
      <c r="L179">
        <f>COUNTIFS(Grunnspill!$A:$A,Annex!C179)</f>
        <v>0</v>
      </c>
      <c r="M179">
        <f>COUNTIFS(Grunnspill!$A:$A,Annex!D179)</f>
        <v>0</v>
      </c>
      <c r="N179">
        <f>COUNTIFS(Grunnspill!$A:$A,Annex!E179)</f>
        <v>0</v>
      </c>
      <c r="O179">
        <f>COUNTIFS(Grunnspill!$A:$A,Annex!F179)</f>
        <v>0</v>
      </c>
      <c r="P179">
        <f>COUNTIFS(Grunnspill!$A:$A,Annex!G179)</f>
        <v>0</v>
      </c>
      <c r="Q179">
        <f>COUNTIFS(Grunnspill!$A:$A,Annex!H179)</f>
        <v>0</v>
      </c>
      <c r="R179">
        <f>COUNTIFS(Grunnspill!$A:$A,Annex!I179)</f>
        <v>0</v>
      </c>
    </row>
    <row r="180" spans="1:18" x14ac:dyDescent="0.2">
      <c r="A180">
        <v>177</v>
      </c>
      <c r="B180" s="1" t="s">
        <v>106</v>
      </c>
      <c r="C180" s="1" t="s">
        <v>107</v>
      </c>
      <c r="D180" s="1" t="s">
        <v>103</v>
      </c>
      <c r="E180" s="1" t="s">
        <v>110</v>
      </c>
      <c r="F180" s="1" t="s">
        <v>113</v>
      </c>
      <c r="G180" s="1" t="s">
        <v>105</v>
      </c>
      <c r="H180" s="1" t="s">
        <v>108</v>
      </c>
      <c r="I180" s="1" t="s">
        <v>109</v>
      </c>
      <c r="J180">
        <f t="shared" si="5"/>
        <v>0</v>
      </c>
      <c r="K180">
        <f>COUNTIFS(Grunnspill!$A:$A,Annex!B180)</f>
        <v>0</v>
      </c>
      <c r="L180">
        <f>COUNTIFS(Grunnspill!$A:$A,Annex!C180)</f>
        <v>0</v>
      </c>
      <c r="M180">
        <f>COUNTIFS(Grunnspill!$A:$A,Annex!D180)</f>
        <v>0</v>
      </c>
      <c r="N180">
        <f>COUNTIFS(Grunnspill!$A:$A,Annex!E180)</f>
        <v>0</v>
      </c>
      <c r="O180">
        <f>COUNTIFS(Grunnspill!$A:$A,Annex!F180)</f>
        <v>0</v>
      </c>
      <c r="P180">
        <f>COUNTIFS(Grunnspill!$A:$A,Annex!G180)</f>
        <v>0</v>
      </c>
      <c r="Q180">
        <f>COUNTIFS(Grunnspill!$A:$A,Annex!H180)</f>
        <v>0</v>
      </c>
      <c r="R180">
        <f>COUNTIFS(Grunnspill!$A:$A,Annex!I180)</f>
        <v>0</v>
      </c>
    </row>
    <row r="181" spans="1:18" x14ac:dyDescent="0.2">
      <c r="A181">
        <v>178</v>
      </c>
      <c r="B181" s="1" t="s">
        <v>106</v>
      </c>
      <c r="C181" s="1" t="s">
        <v>107</v>
      </c>
      <c r="D181" s="1" t="s">
        <v>104</v>
      </c>
      <c r="E181" s="1" t="s">
        <v>110</v>
      </c>
      <c r="F181" s="1" t="s">
        <v>113</v>
      </c>
      <c r="G181" s="1" t="s">
        <v>105</v>
      </c>
      <c r="H181" s="1" t="s">
        <v>108</v>
      </c>
      <c r="I181" s="1" t="s">
        <v>109</v>
      </c>
      <c r="J181">
        <f t="shared" si="5"/>
        <v>0</v>
      </c>
      <c r="K181">
        <f>COUNTIFS(Grunnspill!$A:$A,Annex!B181)</f>
        <v>0</v>
      </c>
      <c r="L181">
        <f>COUNTIFS(Grunnspill!$A:$A,Annex!C181)</f>
        <v>0</v>
      </c>
      <c r="M181">
        <f>COUNTIFS(Grunnspill!$A:$A,Annex!D181)</f>
        <v>0</v>
      </c>
      <c r="N181">
        <f>COUNTIFS(Grunnspill!$A:$A,Annex!E181)</f>
        <v>0</v>
      </c>
      <c r="O181">
        <f>COUNTIFS(Grunnspill!$A:$A,Annex!F181)</f>
        <v>0</v>
      </c>
      <c r="P181">
        <f>COUNTIFS(Grunnspill!$A:$A,Annex!G181)</f>
        <v>0</v>
      </c>
      <c r="Q181">
        <f>COUNTIFS(Grunnspill!$A:$A,Annex!H181)</f>
        <v>0</v>
      </c>
      <c r="R181">
        <f>COUNTIFS(Grunnspill!$A:$A,Annex!I181)</f>
        <v>0</v>
      </c>
    </row>
    <row r="182" spans="1:18" x14ac:dyDescent="0.2">
      <c r="A182">
        <v>179</v>
      </c>
      <c r="B182" s="1" t="s">
        <v>106</v>
      </c>
      <c r="C182" s="1" t="s">
        <v>107</v>
      </c>
      <c r="D182" s="1" t="s">
        <v>103</v>
      </c>
      <c r="E182" s="1" t="s">
        <v>110</v>
      </c>
      <c r="F182" s="1" t="s">
        <v>113</v>
      </c>
      <c r="G182" s="1" t="s">
        <v>105</v>
      </c>
      <c r="H182" s="1" t="s">
        <v>108</v>
      </c>
      <c r="I182" s="1" t="s">
        <v>104</v>
      </c>
      <c r="J182">
        <f t="shared" si="5"/>
        <v>0</v>
      </c>
      <c r="K182">
        <f>COUNTIFS(Grunnspill!$A:$A,Annex!B182)</f>
        <v>0</v>
      </c>
      <c r="L182">
        <f>COUNTIFS(Grunnspill!$A:$A,Annex!C182)</f>
        <v>0</v>
      </c>
      <c r="M182">
        <f>COUNTIFS(Grunnspill!$A:$A,Annex!D182)</f>
        <v>0</v>
      </c>
      <c r="N182">
        <f>COUNTIFS(Grunnspill!$A:$A,Annex!E182)</f>
        <v>0</v>
      </c>
      <c r="O182">
        <f>COUNTIFS(Grunnspill!$A:$A,Annex!F182)</f>
        <v>0</v>
      </c>
      <c r="P182">
        <f>COUNTIFS(Grunnspill!$A:$A,Annex!G182)</f>
        <v>0</v>
      </c>
      <c r="Q182">
        <f>COUNTIFS(Grunnspill!$A:$A,Annex!H182)</f>
        <v>0</v>
      </c>
      <c r="R182">
        <f>COUNTIFS(Grunnspill!$A:$A,Annex!I182)</f>
        <v>0</v>
      </c>
    </row>
    <row r="183" spans="1:18" x14ac:dyDescent="0.2">
      <c r="A183">
        <v>180</v>
      </c>
      <c r="B183" s="1" t="s">
        <v>106</v>
      </c>
      <c r="C183" s="1" t="s">
        <v>107</v>
      </c>
      <c r="D183" s="1" t="s">
        <v>103</v>
      </c>
      <c r="E183" s="1" t="s">
        <v>110</v>
      </c>
      <c r="F183" s="1" t="s">
        <v>113</v>
      </c>
      <c r="G183" s="1" t="s">
        <v>105</v>
      </c>
      <c r="H183" s="1" t="s">
        <v>104</v>
      </c>
      <c r="I183" s="1" t="s">
        <v>109</v>
      </c>
      <c r="J183">
        <f t="shared" si="5"/>
        <v>0</v>
      </c>
      <c r="K183">
        <f>COUNTIFS(Grunnspill!$A:$A,Annex!B183)</f>
        <v>0</v>
      </c>
      <c r="L183">
        <f>COUNTIFS(Grunnspill!$A:$A,Annex!C183)</f>
        <v>0</v>
      </c>
      <c r="M183">
        <f>COUNTIFS(Grunnspill!$A:$A,Annex!D183)</f>
        <v>0</v>
      </c>
      <c r="N183">
        <f>COUNTIFS(Grunnspill!$A:$A,Annex!E183)</f>
        <v>0</v>
      </c>
      <c r="O183">
        <f>COUNTIFS(Grunnspill!$A:$A,Annex!F183)</f>
        <v>0</v>
      </c>
      <c r="P183">
        <f>COUNTIFS(Grunnspill!$A:$A,Annex!G183)</f>
        <v>0</v>
      </c>
      <c r="Q183">
        <f>COUNTIFS(Grunnspill!$A:$A,Annex!H183)</f>
        <v>0</v>
      </c>
      <c r="R183">
        <f>COUNTIFS(Grunnspill!$A:$A,Annex!I183)</f>
        <v>0</v>
      </c>
    </row>
    <row r="184" spans="1:18" x14ac:dyDescent="0.2">
      <c r="A184">
        <v>181</v>
      </c>
      <c r="B184" s="1" t="s">
        <v>102</v>
      </c>
      <c r="C184" s="1" t="s">
        <v>103</v>
      </c>
      <c r="D184" s="1" t="s">
        <v>104</v>
      </c>
      <c r="E184" s="1" t="s">
        <v>110</v>
      </c>
      <c r="F184" s="1" t="s">
        <v>113</v>
      </c>
      <c r="G184" s="1" t="s">
        <v>106</v>
      </c>
      <c r="H184" s="1" t="s">
        <v>108</v>
      </c>
      <c r="I184" s="1" t="s">
        <v>109</v>
      </c>
      <c r="J184">
        <f t="shared" si="5"/>
        <v>0</v>
      </c>
      <c r="K184">
        <f>COUNTIFS(Grunnspill!$A:$A,Annex!B184)</f>
        <v>0</v>
      </c>
      <c r="L184">
        <f>COUNTIFS(Grunnspill!$A:$A,Annex!C184)</f>
        <v>0</v>
      </c>
      <c r="M184">
        <f>COUNTIFS(Grunnspill!$A:$A,Annex!D184)</f>
        <v>0</v>
      </c>
      <c r="N184">
        <f>COUNTIFS(Grunnspill!$A:$A,Annex!E184)</f>
        <v>0</v>
      </c>
      <c r="O184">
        <f>COUNTIFS(Grunnspill!$A:$A,Annex!F184)</f>
        <v>0</v>
      </c>
      <c r="P184">
        <f>COUNTIFS(Grunnspill!$A:$A,Annex!G184)</f>
        <v>0</v>
      </c>
      <c r="Q184">
        <f>COUNTIFS(Grunnspill!$A:$A,Annex!H184)</f>
        <v>0</v>
      </c>
      <c r="R184">
        <f>COUNTIFS(Grunnspill!$A:$A,Annex!I184)</f>
        <v>0</v>
      </c>
    </row>
    <row r="185" spans="1:18" x14ac:dyDescent="0.2">
      <c r="A185">
        <v>182</v>
      </c>
      <c r="B185" s="1" t="s">
        <v>102</v>
      </c>
      <c r="C185" s="1" t="s">
        <v>103</v>
      </c>
      <c r="D185" s="1" t="s">
        <v>104</v>
      </c>
      <c r="E185" s="1" t="s">
        <v>110</v>
      </c>
      <c r="F185" s="1" t="s">
        <v>113</v>
      </c>
      <c r="G185" s="1" t="s">
        <v>107</v>
      </c>
      <c r="H185" s="1" t="s">
        <v>108</v>
      </c>
      <c r="I185" s="1" t="s">
        <v>109</v>
      </c>
      <c r="J185">
        <f t="shared" si="5"/>
        <v>0</v>
      </c>
      <c r="K185">
        <f>COUNTIFS(Grunnspill!$A:$A,Annex!B185)</f>
        <v>0</v>
      </c>
      <c r="L185">
        <f>COUNTIFS(Grunnspill!$A:$A,Annex!C185)</f>
        <v>0</v>
      </c>
      <c r="M185">
        <f>COUNTIFS(Grunnspill!$A:$A,Annex!D185)</f>
        <v>0</v>
      </c>
      <c r="N185">
        <f>COUNTIFS(Grunnspill!$A:$A,Annex!E185)</f>
        <v>0</v>
      </c>
      <c r="O185">
        <f>COUNTIFS(Grunnspill!$A:$A,Annex!F185)</f>
        <v>0</v>
      </c>
      <c r="P185">
        <f>COUNTIFS(Grunnspill!$A:$A,Annex!G185)</f>
        <v>0</v>
      </c>
      <c r="Q185">
        <f>COUNTIFS(Grunnspill!$A:$A,Annex!H185)</f>
        <v>0</v>
      </c>
      <c r="R185">
        <f>COUNTIFS(Grunnspill!$A:$A,Annex!I185)</f>
        <v>0</v>
      </c>
    </row>
    <row r="186" spans="1:18" x14ac:dyDescent="0.2">
      <c r="A186">
        <v>183</v>
      </c>
      <c r="B186" s="1" t="s">
        <v>102</v>
      </c>
      <c r="C186" s="1" t="s">
        <v>107</v>
      </c>
      <c r="D186" s="1" t="s">
        <v>103</v>
      </c>
      <c r="E186" s="1" t="s">
        <v>110</v>
      </c>
      <c r="F186" s="1" t="s">
        <v>113</v>
      </c>
      <c r="G186" s="1" t="s">
        <v>106</v>
      </c>
      <c r="H186" s="1" t="s">
        <v>108</v>
      </c>
      <c r="I186" s="1" t="s">
        <v>109</v>
      </c>
      <c r="J186">
        <f t="shared" si="5"/>
        <v>0</v>
      </c>
      <c r="K186">
        <f>COUNTIFS(Grunnspill!$A:$A,Annex!B186)</f>
        <v>0</v>
      </c>
      <c r="L186">
        <f>COUNTIFS(Grunnspill!$A:$A,Annex!C186)</f>
        <v>0</v>
      </c>
      <c r="M186">
        <f>COUNTIFS(Grunnspill!$A:$A,Annex!D186)</f>
        <v>0</v>
      </c>
      <c r="N186">
        <f>COUNTIFS(Grunnspill!$A:$A,Annex!E186)</f>
        <v>0</v>
      </c>
      <c r="O186">
        <f>COUNTIFS(Grunnspill!$A:$A,Annex!F186)</f>
        <v>0</v>
      </c>
      <c r="P186">
        <f>COUNTIFS(Grunnspill!$A:$A,Annex!G186)</f>
        <v>0</v>
      </c>
      <c r="Q186">
        <f>COUNTIFS(Grunnspill!$A:$A,Annex!H186)</f>
        <v>0</v>
      </c>
      <c r="R186">
        <f>COUNTIFS(Grunnspill!$A:$A,Annex!I186)</f>
        <v>0</v>
      </c>
    </row>
    <row r="187" spans="1:18" x14ac:dyDescent="0.2">
      <c r="A187">
        <v>184</v>
      </c>
      <c r="B187" s="1" t="s">
        <v>102</v>
      </c>
      <c r="C187" s="1" t="s">
        <v>107</v>
      </c>
      <c r="D187" s="1" t="s">
        <v>104</v>
      </c>
      <c r="E187" s="1" t="s">
        <v>110</v>
      </c>
      <c r="F187" s="1" t="s">
        <v>113</v>
      </c>
      <c r="G187" s="1" t="s">
        <v>106</v>
      </c>
      <c r="H187" s="1" t="s">
        <v>108</v>
      </c>
      <c r="I187" s="1" t="s">
        <v>109</v>
      </c>
      <c r="J187">
        <f t="shared" si="5"/>
        <v>0</v>
      </c>
      <c r="K187">
        <f>COUNTIFS(Grunnspill!$A:$A,Annex!B187)</f>
        <v>0</v>
      </c>
      <c r="L187">
        <f>COUNTIFS(Grunnspill!$A:$A,Annex!C187)</f>
        <v>0</v>
      </c>
      <c r="M187">
        <f>COUNTIFS(Grunnspill!$A:$A,Annex!D187)</f>
        <v>0</v>
      </c>
      <c r="N187">
        <f>COUNTIFS(Grunnspill!$A:$A,Annex!E187)</f>
        <v>0</v>
      </c>
      <c r="O187">
        <f>COUNTIFS(Grunnspill!$A:$A,Annex!F187)</f>
        <v>0</v>
      </c>
      <c r="P187">
        <f>COUNTIFS(Grunnspill!$A:$A,Annex!G187)</f>
        <v>0</v>
      </c>
      <c r="Q187">
        <f>COUNTIFS(Grunnspill!$A:$A,Annex!H187)</f>
        <v>0</v>
      </c>
      <c r="R187">
        <f>COUNTIFS(Grunnspill!$A:$A,Annex!I187)</f>
        <v>0</v>
      </c>
    </row>
    <row r="188" spans="1:18" x14ac:dyDescent="0.2">
      <c r="A188">
        <v>185</v>
      </c>
      <c r="B188" s="1" t="s">
        <v>102</v>
      </c>
      <c r="C188" s="1" t="s">
        <v>107</v>
      </c>
      <c r="D188" s="1" t="s">
        <v>103</v>
      </c>
      <c r="E188" s="1" t="s">
        <v>110</v>
      </c>
      <c r="F188" s="1" t="s">
        <v>113</v>
      </c>
      <c r="G188" s="1" t="s">
        <v>106</v>
      </c>
      <c r="H188" s="1" t="s">
        <v>108</v>
      </c>
      <c r="I188" s="1" t="s">
        <v>104</v>
      </c>
      <c r="J188">
        <f t="shared" si="5"/>
        <v>0</v>
      </c>
      <c r="K188">
        <f>COUNTIFS(Grunnspill!$A:$A,Annex!B188)</f>
        <v>0</v>
      </c>
      <c r="L188">
        <f>COUNTIFS(Grunnspill!$A:$A,Annex!C188)</f>
        <v>0</v>
      </c>
      <c r="M188">
        <f>COUNTIFS(Grunnspill!$A:$A,Annex!D188)</f>
        <v>0</v>
      </c>
      <c r="N188">
        <f>COUNTIFS(Grunnspill!$A:$A,Annex!E188)</f>
        <v>0</v>
      </c>
      <c r="O188">
        <f>COUNTIFS(Grunnspill!$A:$A,Annex!F188)</f>
        <v>0</v>
      </c>
      <c r="P188">
        <f>COUNTIFS(Grunnspill!$A:$A,Annex!G188)</f>
        <v>0</v>
      </c>
      <c r="Q188">
        <f>COUNTIFS(Grunnspill!$A:$A,Annex!H188)</f>
        <v>0</v>
      </c>
      <c r="R188">
        <f>COUNTIFS(Grunnspill!$A:$A,Annex!I188)</f>
        <v>0</v>
      </c>
    </row>
    <row r="189" spans="1:18" x14ac:dyDescent="0.2">
      <c r="A189">
        <v>186</v>
      </c>
      <c r="B189" s="1" t="s">
        <v>102</v>
      </c>
      <c r="C189" s="1" t="s">
        <v>107</v>
      </c>
      <c r="D189" s="1" t="s">
        <v>103</v>
      </c>
      <c r="E189" s="1" t="s">
        <v>110</v>
      </c>
      <c r="F189" s="1" t="s">
        <v>113</v>
      </c>
      <c r="G189" s="1" t="s">
        <v>106</v>
      </c>
      <c r="H189" s="1" t="s">
        <v>104</v>
      </c>
      <c r="I189" s="1" t="s">
        <v>109</v>
      </c>
      <c r="J189">
        <f t="shared" si="5"/>
        <v>0</v>
      </c>
      <c r="K189">
        <f>COUNTIFS(Grunnspill!$A:$A,Annex!B189)</f>
        <v>0</v>
      </c>
      <c r="L189">
        <f>COUNTIFS(Grunnspill!$A:$A,Annex!C189)</f>
        <v>0</v>
      </c>
      <c r="M189">
        <f>COUNTIFS(Grunnspill!$A:$A,Annex!D189)</f>
        <v>0</v>
      </c>
      <c r="N189">
        <f>COUNTIFS(Grunnspill!$A:$A,Annex!E189)</f>
        <v>0</v>
      </c>
      <c r="O189">
        <f>COUNTIFS(Grunnspill!$A:$A,Annex!F189)</f>
        <v>0</v>
      </c>
      <c r="P189">
        <f>COUNTIFS(Grunnspill!$A:$A,Annex!G189)</f>
        <v>0</v>
      </c>
      <c r="Q189">
        <f>COUNTIFS(Grunnspill!$A:$A,Annex!H189)</f>
        <v>0</v>
      </c>
      <c r="R189">
        <f>COUNTIFS(Grunnspill!$A:$A,Annex!I189)</f>
        <v>0</v>
      </c>
    </row>
    <row r="190" spans="1:18" x14ac:dyDescent="0.2">
      <c r="A190">
        <v>187</v>
      </c>
      <c r="B190" s="1" t="s">
        <v>102</v>
      </c>
      <c r="C190" s="1" t="s">
        <v>103</v>
      </c>
      <c r="D190" s="1" t="s">
        <v>104</v>
      </c>
      <c r="E190" s="1" t="s">
        <v>110</v>
      </c>
      <c r="F190" s="1" t="s">
        <v>113</v>
      </c>
      <c r="G190" s="1" t="s">
        <v>105</v>
      </c>
      <c r="H190" s="1" t="s">
        <v>108</v>
      </c>
      <c r="I190" s="1" t="s">
        <v>109</v>
      </c>
      <c r="J190">
        <f t="shared" si="5"/>
        <v>0</v>
      </c>
      <c r="K190">
        <f>COUNTIFS(Grunnspill!$A:$A,Annex!B190)</f>
        <v>0</v>
      </c>
      <c r="L190">
        <f>COUNTIFS(Grunnspill!$A:$A,Annex!C190)</f>
        <v>0</v>
      </c>
      <c r="M190">
        <f>COUNTIFS(Grunnspill!$A:$A,Annex!D190)</f>
        <v>0</v>
      </c>
      <c r="N190">
        <f>COUNTIFS(Grunnspill!$A:$A,Annex!E190)</f>
        <v>0</v>
      </c>
      <c r="O190">
        <f>COUNTIFS(Grunnspill!$A:$A,Annex!F190)</f>
        <v>0</v>
      </c>
      <c r="P190">
        <f>COUNTIFS(Grunnspill!$A:$A,Annex!G190)</f>
        <v>0</v>
      </c>
      <c r="Q190">
        <f>COUNTIFS(Grunnspill!$A:$A,Annex!H190)</f>
        <v>0</v>
      </c>
      <c r="R190">
        <f>COUNTIFS(Grunnspill!$A:$A,Annex!I190)</f>
        <v>0</v>
      </c>
    </row>
    <row r="191" spans="1:18" x14ac:dyDescent="0.2">
      <c r="A191">
        <v>188</v>
      </c>
      <c r="B191" s="1" t="s">
        <v>106</v>
      </c>
      <c r="C191" s="1" t="s">
        <v>103</v>
      </c>
      <c r="D191" s="1" t="s">
        <v>102</v>
      </c>
      <c r="E191" s="1" t="s">
        <v>110</v>
      </c>
      <c r="F191" s="1" t="s">
        <v>113</v>
      </c>
      <c r="G191" s="1" t="s">
        <v>105</v>
      </c>
      <c r="H191" s="1" t="s">
        <v>108</v>
      </c>
      <c r="I191" s="1" t="s">
        <v>109</v>
      </c>
      <c r="J191">
        <f t="shared" si="5"/>
        <v>0</v>
      </c>
      <c r="K191">
        <f>COUNTIFS(Grunnspill!$A:$A,Annex!B191)</f>
        <v>0</v>
      </c>
      <c r="L191">
        <f>COUNTIFS(Grunnspill!$A:$A,Annex!C191)</f>
        <v>0</v>
      </c>
      <c r="M191">
        <f>COUNTIFS(Grunnspill!$A:$A,Annex!D191)</f>
        <v>0</v>
      </c>
      <c r="N191">
        <f>COUNTIFS(Grunnspill!$A:$A,Annex!E191)</f>
        <v>0</v>
      </c>
      <c r="O191">
        <f>COUNTIFS(Grunnspill!$A:$A,Annex!F191)</f>
        <v>0</v>
      </c>
      <c r="P191">
        <f>COUNTIFS(Grunnspill!$A:$A,Annex!G191)</f>
        <v>0</v>
      </c>
      <c r="Q191">
        <f>COUNTIFS(Grunnspill!$A:$A,Annex!H191)</f>
        <v>0</v>
      </c>
      <c r="R191">
        <f>COUNTIFS(Grunnspill!$A:$A,Annex!I191)</f>
        <v>0</v>
      </c>
    </row>
    <row r="192" spans="1:18" x14ac:dyDescent="0.2">
      <c r="A192">
        <v>189</v>
      </c>
      <c r="B192" s="1" t="s">
        <v>106</v>
      </c>
      <c r="C192" s="1" t="s">
        <v>102</v>
      </c>
      <c r="D192" s="1" t="s">
        <v>104</v>
      </c>
      <c r="E192" s="1" t="s">
        <v>110</v>
      </c>
      <c r="F192" s="1" t="s">
        <v>113</v>
      </c>
      <c r="G192" s="1" t="s">
        <v>105</v>
      </c>
      <c r="H192" s="1" t="s">
        <v>108</v>
      </c>
      <c r="I192" s="1" t="s">
        <v>109</v>
      </c>
      <c r="J192">
        <f t="shared" si="5"/>
        <v>0</v>
      </c>
      <c r="K192">
        <f>COUNTIFS(Grunnspill!$A:$A,Annex!B192)</f>
        <v>0</v>
      </c>
      <c r="L192">
        <f>COUNTIFS(Grunnspill!$A:$A,Annex!C192)</f>
        <v>0</v>
      </c>
      <c r="M192">
        <f>COUNTIFS(Grunnspill!$A:$A,Annex!D192)</f>
        <v>0</v>
      </c>
      <c r="N192">
        <f>COUNTIFS(Grunnspill!$A:$A,Annex!E192)</f>
        <v>0</v>
      </c>
      <c r="O192">
        <f>COUNTIFS(Grunnspill!$A:$A,Annex!F192)</f>
        <v>0</v>
      </c>
      <c r="P192">
        <f>COUNTIFS(Grunnspill!$A:$A,Annex!G192)</f>
        <v>0</v>
      </c>
      <c r="Q192">
        <f>COUNTIFS(Grunnspill!$A:$A,Annex!H192)</f>
        <v>0</v>
      </c>
      <c r="R192">
        <f>COUNTIFS(Grunnspill!$A:$A,Annex!I192)</f>
        <v>0</v>
      </c>
    </row>
    <row r="193" spans="1:18" x14ac:dyDescent="0.2">
      <c r="A193">
        <v>190</v>
      </c>
      <c r="B193" s="1" t="s">
        <v>106</v>
      </c>
      <c r="C193" s="1" t="s">
        <v>103</v>
      </c>
      <c r="D193" s="1" t="s">
        <v>102</v>
      </c>
      <c r="E193" s="1" t="s">
        <v>110</v>
      </c>
      <c r="F193" s="1" t="s">
        <v>113</v>
      </c>
      <c r="G193" s="1" t="s">
        <v>105</v>
      </c>
      <c r="H193" s="1" t="s">
        <v>108</v>
      </c>
      <c r="I193" s="1" t="s">
        <v>104</v>
      </c>
      <c r="J193">
        <f t="shared" si="5"/>
        <v>0</v>
      </c>
      <c r="K193">
        <f>COUNTIFS(Grunnspill!$A:$A,Annex!B193)</f>
        <v>0</v>
      </c>
      <c r="L193">
        <f>COUNTIFS(Grunnspill!$A:$A,Annex!C193)</f>
        <v>0</v>
      </c>
      <c r="M193">
        <f>COUNTIFS(Grunnspill!$A:$A,Annex!D193)</f>
        <v>0</v>
      </c>
      <c r="N193">
        <f>COUNTIFS(Grunnspill!$A:$A,Annex!E193)</f>
        <v>0</v>
      </c>
      <c r="O193">
        <f>COUNTIFS(Grunnspill!$A:$A,Annex!F193)</f>
        <v>0</v>
      </c>
      <c r="P193">
        <f>COUNTIFS(Grunnspill!$A:$A,Annex!G193)</f>
        <v>0</v>
      </c>
      <c r="Q193">
        <f>COUNTIFS(Grunnspill!$A:$A,Annex!H193)</f>
        <v>0</v>
      </c>
      <c r="R193">
        <f>COUNTIFS(Grunnspill!$A:$A,Annex!I193)</f>
        <v>0</v>
      </c>
    </row>
    <row r="194" spans="1:18" x14ac:dyDescent="0.2">
      <c r="A194">
        <v>191</v>
      </c>
      <c r="B194" s="1" t="s">
        <v>106</v>
      </c>
      <c r="C194" s="1" t="s">
        <v>103</v>
      </c>
      <c r="D194" s="1" t="s">
        <v>102</v>
      </c>
      <c r="E194" s="1" t="s">
        <v>110</v>
      </c>
      <c r="F194" s="1" t="s">
        <v>113</v>
      </c>
      <c r="G194" s="1" t="s">
        <v>105</v>
      </c>
      <c r="H194" s="1" t="s">
        <v>104</v>
      </c>
      <c r="I194" s="1" t="s">
        <v>109</v>
      </c>
      <c r="J194">
        <f t="shared" si="5"/>
        <v>0</v>
      </c>
      <c r="K194">
        <f>COUNTIFS(Grunnspill!$A:$A,Annex!B194)</f>
        <v>0</v>
      </c>
      <c r="L194">
        <f>COUNTIFS(Grunnspill!$A:$A,Annex!C194)</f>
        <v>0</v>
      </c>
      <c r="M194">
        <f>COUNTIFS(Grunnspill!$A:$A,Annex!D194)</f>
        <v>0</v>
      </c>
      <c r="N194">
        <f>COUNTIFS(Grunnspill!$A:$A,Annex!E194)</f>
        <v>0</v>
      </c>
      <c r="O194">
        <f>COUNTIFS(Grunnspill!$A:$A,Annex!F194)</f>
        <v>0</v>
      </c>
      <c r="P194">
        <f>COUNTIFS(Grunnspill!$A:$A,Annex!G194)</f>
        <v>0</v>
      </c>
      <c r="Q194">
        <f>COUNTIFS(Grunnspill!$A:$A,Annex!H194)</f>
        <v>0</v>
      </c>
      <c r="R194">
        <f>COUNTIFS(Grunnspill!$A:$A,Annex!I194)</f>
        <v>0</v>
      </c>
    </row>
    <row r="195" spans="1:18" x14ac:dyDescent="0.2">
      <c r="A195">
        <v>192</v>
      </c>
      <c r="B195" s="1" t="s">
        <v>102</v>
      </c>
      <c r="C195" s="1" t="s">
        <v>107</v>
      </c>
      <c r="D195" s="1" t="s">
        <v>103</v>
      </c>
      <c r="E195" s="1" t="s">
        <v>110</v>
      </c>
      <c r="F195" s="1" t="s">
        <v>113</v>
      </c>
      <c r="G195" s="1" t="s">
        <v>105</v>
      </c>
      <c r="H195" s="1" t="s">
        <v>108</v>
      </c>
      <c r="I195" s="1" t="s">
        <v>109</v>
      </c>
      <c r="J195">
        <f t="shared" si="5"/>
        <v>0</v>
      </c>
      <c r="K195">
        <f>COUNTIFS(Grunnspill!$A:$A,Annex!B195)</f>
        <v>0</v>
      </c>
      <c r="L195">
        <f>COUNTIFS(Grunnspill!$A:$A,Annex!C195)</f>
        <v>0</v>
      </c>
      <c r="M195">
        <f>COUNTIFS(Grunnspill!$A:$A,Annex!D195)</f>
        <v>0</v>
      </c>
      <c r="N195">
        <f>COUNTIFS(Grunnspill!$A:$A,Annex!E195)</f>
        <v>0</v>
      </c>
      <c r="O195">
        <f>COUNTIFS(Grunnspill!$A:$A,Annex!F195)</f>
        <v>0</v>
      </c>
      <c r="P195">
        <f>COUNTIFS(Grunnspill!$A:$A,Annex!G195)</f>
        <v>0</v>
      </c>
      <c r="Q195">
        <f>COUNTIFS(Grunnspill!$A:$A,Annex!H195)</f>
        <v>0</v>
      </c>
      <c r="R195">
        <f>COUNTIFS(Grunnspill!$A:$A,Annex!I195)</f>
        <v>0</v>
      </c>
    </row>
    <row r="196" spans="1:18" x14ac:dyDescent="0.2">
      <c r="A196">
        <v>193</v>
      </c>
      <c r="B196" s="1" t="s">
        <v>102</v>
      </c>
      <c r="C196" s="1" t="s">
        <v>107</v>
      </c>
      <c r="D196" s="1" t="s">
        <v>104</v>
      </c>
      <c r="E196" s="1" t="s">
        <v>110</v>
      </c>
      <c r="F196" s="1" t="s">
        <v>113</v>
      </c>
      <c r="G196" s="1" t="s">
        <v>105</v>
      </c>
      <c r="H196" s="1" t="s">
        <v>108</v>
      </c>
      <c r="I196" s="1" t="s">
        <v>109</v>
      </c>
      <c r="J196">
        <f t="shared" si="5"/>
        <v>0</v>
      </c>
      <c r="K196">
        <f>COUNTIFS(Grunnspill!$A:$A,Annex!B196)</f>
        <v>0</v>
      </c>
      <c r="L196">
        <f>COUNTIFS(Grunnspill!$A:$A,Annex!C196)</f>
        <v>0</v>
      </c>
      <c r="M196">
        <f>COUNTIFS(Grunnspill!$A:$A,Annex!D196)</f>
        <v>0</v>
      </c>
      <c r="N196">
        <f>COUNTIFS(Grunnspill!$A:$A,Annex!E196)</f>
        <v>0</v>
      </c>
      <c r="O196">
        <f>COUNTIFS(Grunnspill!$A:$A,Annex!F196)</f>
        <v>0</v>
      </c>
      <c r="P196">
        <f>COUNTIFS(Grunnspill!$A:$A,Annex!G196)</f>
        <v>0</v>
      </c>
      <c r="Q196">
        <f>COUNTIFS(Grunnspill!$A:$A,Annex!H196)</f>
        <v>0</v>
      </c>
      <c r="R196">
        <f>COUNTIFS(Grunnspill!$A:$A,Annex!I196)</f>
        <v>0</v>
      </c>
    </row>
    <row r="197" spans="1:18" x14ac:dyDescent="0.2">
      <c r="A197">
        <v>194</v>
      </c>
      <c r="B197" s="1" t="s">
        <v>102</v>
      </c>
      <c r="C197" s="1" t="s">
        <v>107</v>
      </c>
      <c r="D197" s="1" t="s">
        <v>103</v>
      </c>
      <c r="E197" s="1" t="s">
        <v>110</v>
      </c>
      <c r="F197" s="1" t="s">
        <v>113</v>
      </c>
      <c r="G197" s="1" t="s">
        <v>105</v>
      </c>
      <c r="H197" s="1" t="s">
        <v>108</v>
      </c>
      <c r="I197" s="1" t="s">
        <v>104</v>
      </c>
      <c r="J197">
        <f t="shared" si="5"/>
        <v>0</v>
      </c>
      <c r="K197">
        <f>COUNTIFS(Grunnspill!$A:$A,Annex!B197)</f>
        <v>0</v>
      </c>
      <c r="L197">
        <f>COUNTIFS(Grunnspill!$A:$A,Annex!C197)</f>
        <v>0</v>
      </c>
      <c r="M197">
        <f>COUNTIFS(Grunnspill!$A:$A,Annex!D197)</f>
        <v>0</v>
      </c>
      <c r="N197">
        <f>COUNTIFS(Grunnspill!$A:$A,Annex!E197)</f>
        <v>0</v>
      </c>
      <c r="O197">
        <f>COUNTIFS(Grunnspill!$A:$A,Annex!F197)</f>
        <v>0</v>
      </c>
      <c r="P197">
        <f>COUNTIFS(Grunnspill!$A:$A,Annex!G197)</f>
        <v>0</v>
      </c>
      <c r="Q197">
        <f>COUNTIFS(Grunnspill!$A:$A,Annex!H197)</f>
        <v>0</v>
      </c>
      <c r="R197">
        <f>COUNTIFS(Grunnspill!$A:$A,Annex!I197)</f>
        <v>0</v>
      </c>
    </row>
    <row r="198" spans="1:18" x14ac:dyDescent="0.2">
      <c r="A198">
        <v>195</v>
      </c>
      <c r="B198" s="1" t="s">
        <v>102</v>
      </c>
      <c r="C198" s="1" t="s">
        <v>107</v>
      </c>
      <c r="D198" s="1" t="s">
        <v>103</v>
      </c>
      <c r="E198" s="1" t="s">
        <v>110</v>
      </c>
      <c r="F198" s="1" t="s">
        <v>113</v>
      </c>
      <c r="G198" s="1" t="s">
        <v>105</v>
      </c>
      <c r="H198" s="1" t="s">
        <v>104</v>
      </c>
      <c r="I198" s="1" t="s">
        <v>109</v>
      </c>
      <c r="J198">
        <f t="shared" si="5"/>
        <v>0</v>
      </c>
      <c r="K198">
        <f>COUNTIFS(Grunnspill!$A:$A,Annex!B198)</f>
        <v>0</v>
      </c>
      <c r="L198">
        <f>COUNTIFS(Grunnspill!$A:$A,Annex!C198)</f>
        <v>0</v>
      </c>
      <c r="M198">
        <f>COUNTIFS(Grunnspill!$A:$A,Annex!D198)</f>
        <v>0</v>
      </c>
      <c r="N198">
        <f>COUNTIFS(Grunnspill!$A:$A,Annex!E198)</f>
        <v>0</v>
      </c>
      <c r="O198">
        <f>COUNTIFS(Grunnspill!$A:$A,Annex!F198)</f>
        <v>0</v>
      </c>
      <c r="P198">
        <f>COUNTIFS(Grunnspill!$A:$A,Annex!G198)</f>
        <v>0</v>
      </c>
      <c r="Q198">
        <f>COUNTIFS(Grunnspill!$A:$A,Annex!H198)</f>
        <v>0</v>
      </c>
      <c r="R198">
        <f>COUNTIFS(Grunnspill!$A:$A,Annex!I198)</f>
        <v>0</v>
      </c>
    </row>
    <row r="199" spans="1:18" x14ac:dyDescent="0.2">
      <c r="A199">
        <v>196</v>
      </c>
      <c r="B199" s="1" t="s">
        <v>106</v>
      </c>
      <c r="C199" s="1" t="s">
        <v>107</v>
      </c>
      <c r="D199" s="1" t="s">
        <v>102</v>
      </c>
      <c r="E199" s="1" t="s">
        <v>110</v>
      </c>
      <c r="F199" s="1" t="s">
        <v>113</v>
      </c>
      <c r="G199" s="1" t="s">
        <v>105</v>
      </c>
      <c r="H199" s="1" t="s">
        <v>108</v>
      </c>
      <c r="I199" s="1" t="s">
        <v>109</v>
      </c>
      <c r="J199">
        <f t="shared" si="5"/>
        <v>0</v>
      </c>
      <c r="K199">
        <f>COUNTIFS(Grunnspill!$A:$A,Annex!B199)</f>
        <v>0</v>
      </c>
      <c r="L199">
        <f>COUNTIFS(Grunnspill!$A:$A,Annex!C199)</f>
        <v>0</v>
      </c>
      <c r="M199">
        <f>COUNTIFS(Grunnspill!$A:$A,Annex!D199)</f>
        <v>0</v>
      </c>
      <c r="N199">
        <f>COUNTIFS(Grunnspill!$A:$A,Annex!E199)</f>
        <v>0</v>
      </c>
      <c r="O199">
        <f>COUNTIFS(Grunnspill!$A:$A,Annex!F199)</f>
        <v>0</v>
      </c>
      <c r="P199">
        <f>COUNTIFS(Grunnspill!$A:$A,Annex!G199)</f>
        <v>0</v>
      </c>
      <c r="Q199">
        <f>COUNTIFS(Grunnspill!$A:$A,Annex!H199)</f>
        <v>0</v>
      </c>
      <c r="R199">
        <f>COUNTIFS(Grunnspill!$A:$A,Annex!I199)</f>
        <v>0</v>
      </c>
    </row>
    <row r="200" spans="1:18" x14ac:dyDescent="0.2">
      <c r="A200">
        <v>197</v>
      </c>
      <c r="B200" s="1" t="s">
        <v>106</v>
      </c>
      <c r="C200" s="1" t="s">
        <v>107</v>
      </c>
      <c r="D200" s="1" t="s">
        <v>103</v>
      </c>
      <c r="E200" s="1" t="s">
        <v>110</v>
      </c>
      <c r="F200" s="1" t="s">
        <v>113</v>
      </c>
      <c r="G200" s="1" t="s">
        <v>105</v>
      </c>
      <c r="H200" s="1" t="s">
        <v>108</v>
      </c>
      <c r="I200" s="1" t="s">
        <v>102</v>
      </c>
      <c r="J200">
        <f t="shared" si="5"/>
        <v>0</v>
      </c>
      <c r="K200">
        <f>COUNTIFS(Grunnspill!$A:$A,Annex!B200)</f>
        <v>0</v>
      </c>
      <c r="L200">
        <f>COUNTIFS(Grunnspill!$A:$A,Annex!C200)</f>
        <v>0</v>
      </c>
      <c r="M200">
        <f>COUNTIFS(Grunnspill!$A:$A,Annex!D200)</f>
        <v>0</v>
      </c>
      <c r="N200">
        <f>COUNTIFS(Grunnspill!$A:$A,Annex!E200)</f>
        <v>0</v>
      </c>
      <c r="O200">
        <f>COUNTIFS(Grunnspill!$A:$A,Annex!F200)</f>
        <v>0</v>
      </c>
      <c r="P200">
        <f>COUNTIFS(Grunnspill!$A:$A,Annex!G200)</f>
        <v>0</v>
      </c>
      <c r="Q200">
        <f>COUNTIFS(Grunnspill!$A:$A,Annex!H200)</f>
        <v>0</v>
      </c>
      <c r="R200">
        <f>COUNTIFS(Grunnspill!$A:$A,Annex!I200)</f>
        <v>0</v>
      </c>
    </row>
    <row r="201" spans="1:18" x14ac:dyDescent="0.2">
      <c r="A201">
        <v>198</v>
      </c>
      <c r="B201" s="1" t="s">
        <v>106</v>
      </c>
      <c r="C201" s="1" t="s">
        <v>107</v>
      </c>
      <c r="D201" s="1" t="s">
        <v>103</v>
      </c>
      <c r="E201" s="1" t="s">
        <v>110</v>
      </c>
      <c r="F201" s="1" t="s">
        <v>113</v>
      </c>
      <c r="G201" s="1" t="s">
        <v>105</v>
      </c>
      <c r="H201" s="1" t="s">
        <v>102</v>
      </c>
      <c r="I201" s="1" t="s">
        <v>109</v>
      </c>
      <c r="J201">
        <f t="shared" si="5"/>
        <v>0</v>
      </c>
      <c r="K201">
        <f>COUNTIFS(Grunnspill!$A:$A,Annex!B201)</f>
        <v>0</v>
      </c>
      <c r="L201">
        <f>COUNTIFS(Grunnspill!$A:$A,Annex!C201)</f>
        <v>0</v>
      </c>
      <c r="M201">
        <f>COUNTIFS(Grunnspill!$A:$A,Annex!D201)</f>
        <v>0</v>
      </c>
      <c r="N201">
        <f>COUNTIFS(Grunnspill!$A:$A,Annex!E201)</f>
        <v>0</v>
      </c>
      <c r="O201">
        <f>COUNTIFS(Grunnspill!$A:$A,Annex!F201)</f>
        <v>0</v>
      </c>
      <c r="P201">
        <f>COUNTIFS(Grunnspill!$A:$A,Annex!G201)</f>
        <v>0</v>
      </c>
      <c r="Q201">
        <f>COUNTIFS(Grunnspill!$A:$A,Annex!H201)</f>
        <v>0</v>
      </c>
      <c r="R201">
        <f>COUNTIFS(Grunnspill!$A:$A,Annex!I201)</f>
        <v>0</v>
      </c>
    </row>
    <row r="202" spans="1:18" x14ac:dyDescent="0.2">
      <c r="A202">
        <v>199</v>
      </c>
      <c r="B202" s="1" t="s">
        <v>106</v>
      </c>
      <c r="C202" s="1" t="s">
        <v>107</v>
      </c>
      <c r="D202" s="1" t="s">
        <v>102</v>
      </c>
      <c r="E202" s="1" t="s">
        <v>110</v>
      </c>
      <c r="F202" s="1" t="s">
        <v>113</v>
      </c>
      <c r="G202" s="1" t="s">
        <v>105</v>
      </c>
      <c r="H202" s="1" t="s">
        <v>108</v>
      </c>
      <c r="I202" s="1" t="s">
        <v>104</v>
      </c>
      <c r="J202">
        <f t="shared" si="5"/>
        <v>0</v>
      </c>
      <c r="K202">
        <f>COUNTIFS(Grunnspill!$A:$A,Annex!B202)</f>
        <v>0</v>
      </c>
      <c r="L202">
        <f>COUNTIFS(Grunnspill!$A:$A,Annex!C202)</f>
        <v>0</v>
      </c>
      <c r="M202">
        <f>COUNTIFS(Grunnspill!$A:$A,Annex!D202)</f>
        <v>0</v>
      </c>
      <c r="N202">
        <f>COUNTIFS(Grunnspill!$A:$A,Annex!E202)</f>
        <v>0</v>
      </c>
      <c r="O202">
        <f>COUNTIFS(Grunnspill!$A:$A,Annex!F202)</f>
        <v>0</v>
      </c>
      <c r="P202">
        <f>COUNTIFS(Grunnspill!$A:$A,Annex!G202)</f>
        <v>0</v>
      </c>
      <c r="Q202">
        <f>COUNTIFS(Grunnspill!$A:$A,Annex!H202)</f>
        <v>0</v>
      </c>
      <c r="R202">
        <f>COUNTIFS(Grunnspill!$A:$A,Annex!I202)</f>
        <v>0</v>
      </c>
    </row>
    <row r="203" spans="1:18" x14ac:dyDescent="0.2">
      <c r="A203">
        <v>200</v>
      </c>
      <c r="B203" s="1" t="s">
        <v>106</v>
      </c>
      <c r="C203" s="1" t="s">
        <v>107</v>
      </c>
      <c r="D203" s="1" t="s">
        <v>102</v>
      </c>
      <c r="E203" s="1" t="s">
        <v>110</v>
      </c>
      <c r="F203" s="1" t="s">
        <v>113</v>
      </c>
      <c r="G203" s="1" t="s">
        <v>105</v>
      </c>
      <c r="H203" s="1" t="s">
        <v>104</v>
      </c>
      <c r="I203" s="1" t="s">
        <v>109</v>
      </c>
      <c r="J203">
        <f t="shared" si="5"/>
        <v>0</v>
      </c>
      <c r="K203">
        <f>COUNTIFS(Grunnspill!$A:$A,Annex!B203)</f>
        <v>0</v>
      </c>
      <c r="L203">
        <f>COUNTIFS(Grunnspill!$A:$A,Annex!C203)</f>
        <v>0</v>
      </c>
      <c r="M203">
        <f>COUNTIFS(Grunnspill!$A:$A,Annex!D203)</f>
        <v>0</v>
      </c>
      <c r="N203">
        <f>COUNTIFS(Grunnspill!$A:$A,Annex!E203)</f>
        <v>0</v>
      </c>
      <c r="O203">
        <f>COUNTIFS(Grunnspill!$A:$A,Annex!F203)</f>
        <v>0</v>
      </c>
      <c r="P203">
        <f>COUNTIFS(Grunnspill!$A:$A,Annex!G203)</f>
        <v>0</v>
      </c>
      <c r="Q203">
        <f>COUNTIFS(Grunnspill!$A:$A,Annex!H203)</f>
        <v>0</v>
      </c>
      <c r="R203">
        <f>COUNTIFS(Grunnspill!$A:$A,Annex!I203)</f>
        <v>0</v>
      </c>
    </row>
    <row r="204" spans="1:18" x14ac:dyDescent="0.2">
      <c r="A204">
        <v>201</v>
      </c>
      <c r="B204" s="1" t="s">
        <v>106</v>
      </c>
      <c r="C204" s="1" t="s">
        <v>107</v>
      </c>
      <c r="D204" s="1" t="s">
        <v>103</v>
      </c>
      <c r="E204" s="1" t="s">
        <v>110</v>
      </c>
      <c r="F204" s="1" t="s">
        <v>113</v>
      </c>
      <c r="G204" s="1" t="s">
        <v>105</v>
      </c>
      <c r="H204" s="1" t="s">
        <v>102</v>
      </c>
      <c r="I204" s="1" t="s">
        <v>104</v>
      </c>
      <c r="J204">
        <f t="shared" si="5"/>
        <v>0</v>
      </c>
      <c r="K204">
        <f>COUNTIFS(Grunnspill!$A:$A,Annex!B204)</f>
        <v>0</v>
      </c>
      <c r="L204">
        <f>COUNTIFS(Grunnspill!$A:$A,Annex!C204)</f>
        <v>0</v>
      </c>
      <c r="M204">
        <f>COUNTIFS(Grunnspill!$A:$A,Annex!D204)</f>
        <v>0</v>
      </c>
      <c r="N204">
        <f>COUNTIFS(Grunnspill!$A:$A,Annex!E204)</f>
        <v>0</v>
      </c>
      <c r="O204">
        <f>COUNTIFS(Grunnspill!$A:$A,Annex!F204)</f>
        <v>0</v>
      </c>
      <c r="P204">
        <f>COUNTIFS(Grunnspill!$A:$A,Annex!G204)</f>
        <v>0</v>
      </c>
      <c r="Q204">
        <f>COUNTIFS(Grunnspill!$A:$A,Annex!H204)</f>
        <v>0</v>
      </c>
      <c r="R204">
        <f>COUNTIFS(Grunnspill!$A:$A,Annex!I204)</f>
        <v>0</v>
      </c>
    </row>
    <row r="205" spans="1:18" x14ac:dyDescent="0.2">
      <c r="A205">
        <v>202</v>
      </c>
      <c r="B205" s="1" t="s">
        <v>106</v>
      </c>
      <c r="C205" s="1" t="s">
        <v>103</v>
      </c>
      <c r="D205" s="1" t="s">
        <v>104</v>
      </c>
      <c r="E205" s="1" t="s">
        <v>111</v>
      </c>
      <c r="F205" s="1" t="s">
        <v>113</v>
      </c>
      <c r="G205" s="1" t="s">
        <v>107</v>
      </c>
      <c r="H205" s="1" t="s">
        <v>108</v>
      </c>
      <c r="I205" s="1" t="s">
        <v>109</v>
      </c>
      <c r="J205">
        <f t="shared" si="5"/>
        <v>0</v>
      </c>
      <c r="K205">
        <f>COUNTIFS(Grunnspill!$A:$A,Annex!B205)</f>
        <v>0</v>
      </c>
      <c r="L205">
        <f>COUNTIFS(Grunnspill!$A:$A,Annex!C205)</f>
        <v>0</v>
      </c>
      <c r="M205">
        <f>COUNTIFS(Grunnspill!$A:$A,Annex!D205)</f>
        <v>0</v>
      </c>
      <c r="N205">
        <f>COUNTIFS(Grunnspill!$A:$A,Annex!E205)</f>
        <v>0</v>
      </c>
      <c r="O205">
        <f>COUNTIFS(Grunnspill!$A:$A,Annex!F205)</f>
        <v>0</v>
      </c>
      <c r="P205">
        <f>COUNTIFS(Grunnspill!$A:$A,Annex!G205)</f>
        <v>0</v>
      </c>
      <c r="Q205">
        <f>COUNTIFS(Grunnspill!$A:$A,Annex!H205)</f>
        <v>0</v>
      </c>
      <c r="R205">
        <f>COUNTIFS(Grunnspill!$A:$A,Annex!I205)</f>
        <v>0</v>
      </c>
    </row>
    <row r="206" spans="1:18" x14ac:dyDescent="0.2">
      <c r="A206">
        <v>203</v>
      </c>
      <c r="B206" s="1" t="s">
        <v>106</v>
      </c>
      <c r="C206" s="1" t="s">
        <v>103</v>
      </c>
      <c r="D206" s="1" t="s">
        <v>104</v>
      </c>
      <c r="E206" s="1" t="s">
        <v>111</v>
      </c>
      <c r="F206" s="1" t="s">
        <v>113</v>
      </c>
      <c r="G206" s="1" t="s">
        <v>105</v>
      </c>
      <c r="H206" s="1" t="s">
        <v>108</v>
      </c>
      <c r="I206" s="1" t="s">
        <v>109</v>
      </c>
      <c r="J206">
        <f t="shared" si="5"/>
        <v>0</v>
      </c>
      <c r="K206">
        <f>COUNTIFS(Grunnspill!$A:$A,Annex!B206)</f>
        <v>0</v>
      </c>
      <c r="L206">
        <f>COUNTIFS(Grunnspill!$A:$A,Annex!C206)</f>
        <v>0</v>
      </c>
      <c r="M206">
        <f>COUNTIFS(Grunnspill!$A:$A,Annex!D206)</f>
        <v>0</v>
      </c>
      <c r="N206">
        <f>COUNTIFS(Grunnspill!$A:$A,Annex!E206)</f>
        <v>0</v>
      </c>
      <c r="O206">
        <f>COUNTIFS(Grunnspill!$A:$A,Annex!F206)</f>
        <v>0</v>
      </c>
      <c r="P206">
        <f>COUNTIFS(Grunnspill!$A:$A,Annex!G206)</f>
        <v>0</v>
      </c>
      <c r="Q206">
        <f>COUNTIFS(Grunnspill!$A:$A,Annex!H206)</f>
        <v>0</v>
      </c>
      <c r="R206">
        <f>COUNTIFS(Grunnspill!$A:$A,Annex!I206)</f>
        <v>0</v>
      </c>
    </row>
    <row r="207" spans="1:18" x14ac:dyDescent="0.2">
      <c r="A207">
        <v>204</v>
      </c>
      <c r="B207" s="1" t="s">
        <v>104</v>
      </c>
      <c r="C207" s="1" t="s">
        <v>107</v>
      </c>
      <c r="D207" s="1" t="s">
        <v>103</v>
      </c>
      <c r="E207" s="1" t="s">
        <v>111</v>
      </c>
      <c r="F207" s="1" t="s">
        <v>113</v>
      </c>
      <c r="G207" s="1" t="s">
        <v>105</v>
      </c>
      <c r="H207" s="1" t="s">
        <v>108</v>
      </c>
      <c r="I207" s="1" t="s">
        <v>109</v>
      </c>
      <c r="J207">
        <f t="shared" si="5"/>
        <v>0</v>
      </c>
      <c r="K207">
        <f>COUNTIFS(Grunnspill!$A:$A,Annex!B207)</f>
        <v>0</v>
      </c>
      <c r="L207">
        <f>COUNTIFS(Grunnspill!$A:$A,Annex!C207)</f>
        <v>0</v>
      </c>
      <c r="M207">
        <f>COUNTIFS(Grunnspill!$A:$A,Annex!D207)</f>
        <v>0</v>
      </c>
      <c r="N207">
        <f>COUNTIFS(Grunnspill!$A:$A,Annex!E207)</f>
        <v>0</v>
      </c>
      <c r="O207">
        <f>COUNTIFS(Grunnspill!$A:$A,Annex!F207)</f>
        <v>0</v>
      </c>
      <c r="P207">
        <f>COUNTIFS(Grunnspill!$A:$A,Annex!G207)</f>
        <v>0</v>
      </c>
      <c r="Q207">
        <f>COUNTIFS(Grunnspill!$A:$A,Annex!H207)</f>
        <v>0</v>
      </c>
      <c r="R207">
        <f>COUNTIFS(Grunnspill!$A:$A,Annex!I207)</f>
        <v>0</v>
      </c>
    </row>
    <row r="208" spans="1:18" x14ac:dyDescent="0.2">
      <c r="A208">
        <v>205</v>
      </c>
      <c r="B208" s="1" t="s">
        <v>106</v>
      </c>
      <c r="C208" s="1" t="s">
        <v>107</v>
      </c>
      <c r="D208" s="1" t="s">
        <v>103</v>
      </c>
      <c r="E208" s="1" t="s">
        <v>111</v>
      </c>
      <c r="F208" s="1" t="s">
        <v>113</v>
      </c>
      <c r="G208" s="1" t="s">
        <v>105</v>
      </c>
      <c r="H208" s="1" t="s">
        <v>108</v>
      </c>
      <c r="I208" s="1" t="s">
        <v>109</v>
      </c>
      <c r="J208">
        <f t="shared" si="5"/>
        <v>0</v>
      </c>
      <c r="K208">
        <f>COUNTIFS(Grunnspill!$A:$A,Annex!B208)</f>
        <v>0</v>
      </c>
      <c r="L208">
        <f>COUNTIFS(Grunnspill!$A:$A,Annex!C208)</f>
        <v>0</v>
      </c>
      <c r="M208">
        <f>COUNTIFS(Grunnspill!$A:$A,Annex!D208)</f>
        <v>0</v>
      </c>
      <c r="N208">
        <f>COUNTIFS(Grunnspill!$A:$A,Annex!E208)</f>
        <v>0</v>
      </c>
      <c r="O208">
        <f>COUNTIFS(Grunnspill!$A:$A,Annex!F208)</f>
        <v>0</v>
      </c>
      <c r="P208">
        <f>COUNTIFS(Grunnspill!$A:$A,Annex!G208)</f>
        <v>0</v>
      </c>
      <c r="Q208">
        <f>COUNTIFS(Grunnspill!$A:$A,Annex!H208)</f>
        <v>0</v>
      </c>
      <c r="R208">
        <f>COUNTIFS(Grunnspill!$A:$A,Annex!I208)</f>
        <v>0</v>
      </c>
    </row>
    <row r="209" spans="1:18" x14ac:dyDescent="0.2">
      <c r="A209">
        <v>206</v>
      </c>
      <c r="B209" s="1" t="s">
        <v>106</v>
      </c>
      <c r="C209" s="1" t="s">
        <v>107</v>
      </c>
      <c r="D209" s="1" t="s">
        <v>104</v>
      </c>
      <c r="E209" s="1" t="s">
        <v>111</v>
      </c>
      <c r="F209" s="1" t="s">
        <v>113</v>
      </c>
      <c r="G209" s="1" t="s">
        <v>105</v>
      </c>
      <c r="H209" s="1" t="s">
        <v>108</v>
      </c>
      <c r="I209" s="1" t="s">
        <v>109</v>
      </c>
      <c r="J209">
        <f t="shared" si="5"/>
        <v>0</v>
      </c>
      <c r="K209">
        <f>COUNTIFS(Grunnspill!$A:$A,Annex!B209)</f>
        <v>0</v>
      </c>
      <c r="L209">
        <f>COUNTIFS(Grunnspill!$A:$A,Annex!C209)</f>
        <v>0</v>
      </c>
      <c r="M209">
        <f>COUNTIFS(Grunnspill!$A:$A,Annex!D209)</f>
        <v>0</v>
      </c>
      <c r="N209">
        <f>COUNTIFS(Grunnspill!$A:$A,Annex!E209)</f>
        <v>0</v>
      </c>
      <c r="O209">
        <f>COUNTIFS(Grunnspill!$A:$A,Annex!F209)</f>
        <v>0</v>
      </c>
      <c r="P209">
        <f>COUNTIFS(Grunnspill!$A:$A,Annex!G209)</f>
        <v>0</v>
      </c>
      <c r="Q209">
        <f>COUNTIFS(Grunnspill!$A:$A,Annex!H209)</f>
        <v>0</v>
      </c>
      <c r="R209">
        <f>COUNTIFS(Grunnspill!$A:$A,Annex!I209)</f>
        <v>0</v>
      </c>
    </row>
    <row r="210" spans="1:18" x14ac:dyDescent="0.2">
      <c r="A210">
        <v>207</v>
      </c>
      <c r="B210" s="1" t="s">
        <v>106</v>
      </c>
      <c r="C210" s="1" t="s">
        <v>107</v>
      </c>
      <c r="D210" s="1" t="s">
        <v>103</v>
      </c>
      <c r="E210" s="1" t="s">
        <v>111</v>
      </c>
      <c r="F210" s="1" t="s">
        <v>113</v>
      </c>
      <c r="G210" s="1" t="s">
        <v>105</v>
      </c>
      <c r="H210" s="1" t="s">
        <v>108</v>
      </c>
      <c r="I210" s="1" t="s">
        <v>104</v>
      </c>
      <c r="J210">
        <f t="shared" si="5"/>
        <v>0</v>
      </c>
      <c r="K210">
        <f>COUNTIFS(Grunnspill!$A:$A,Annex!B210)</f>
        <v>0</v>
      </c>
      <c r="L210">
        <f>COUNTIFS(Grunnspill!$A:$A,Annex!C210)</f>
        <v>0</v>
      </c>
      <c r="M210">
        <f>COUNTIFS(Grunnspill!$A:$A,Annex!D210)</f>
        <v>0</v>
      </c>
      <c r="N210">
        <f>COUNTIFS(Grunnspill!$A:$A,Annex!E210)</f>
        <v>0</v>
      </c>
      <c r="O210">
        <f>COUNTIFS(Grunnspill!$A:$A,Annex!F210)</f>
        <v>0</v>
      </c>
      <c r="P210">
        <f>COUNTIFS(Grunnspill!$A:$A,Annex!G210)</f>
        <v>0</v>
      </c>
      <c r="Q210">
        <f>COUNTIFS(Grunnspill!$A:$A,Annex!H210)</f>
        <v>0</v>
      </c>
      <c r="R210">
        <f>COUNTIFS(Grunnspill!$A:$A,Annex!I210)</f>
        <v>0</v>
      </c>
    </row>
    <row r="211" spans="1:18" x14ac:dyDescent="0.2">
      <c r="A211">
        <v>208</v>
      </c>
      <c r="B211" s="1" t="s">
        <v>106</v>
      </c>
      <c r="C211" s="1" t="s">
        <v>107</v>
      </c>
      <c r="D211" s="1" t="s">
        <v>103</v>
      </c>
      <c r="E211" s="1" t="s">
        <v>111</v>
      </c>
      <c r="F211" s="1" t="s">
        <v>113</v>
      </c>
      <c r="G211" s="1" t="s">
        <v>105</v>
      </c>
      <c r="H211" s="1" t="s">
        <v>104</v>
      </c>
      <c r="I211" s="1" t="s">
        <v>109</v>
      </c>
      <c r="J211">
        <f t="shared" si="5"/>
        <v>0</v>
      </c>
      <c r="K211">
        <f>COUNTIFS(Grunnspill!$A:$A,Annex!B211)</f>
        <v>0</v>
      </c>
      <c r="L211">
        <f>COUNTIFS(Grunnspill!$A:$A,Annex!C211)</f>
        <v>0</v>
      </c>
      <c r="M211">
        <f>COUNTIFS(Grunnspill!$A:$A,Annex!D211)</f>
        <v>0</v>
      </c>
      <c r="N211">
        <f>COUNTIFS(Grunnspill!$A:$A,Annex!E211)</f>
        <v>0</v>
      </c>
      <c r="O211">
        <f>COUNTIFS(Grunnspill!$A:$A,Annex!F211)</f>
        <v>0</v>
      </c>
      <c r="P211">
        <f>COUNTIFS(Grunnspill!$A:$A,Annex!G211)</f>
        <v>0</v>
      </c>
      <c r="Q211">
        <f>COUNTIFS(Grunnspill!$A:$A,Annex!H211)</f>
        <v>0</v>
      </c>
      <c r="R211">
        <f>COUNTIFS(Grunnspill!$A:$A,Annex!I211)</f>
        <v>0</v>
      </c>
    </row>
    <row r="212" spans="1:18" x14ac:dyDescent="0.2">
      <c r="A212">
        <v>209</v>
      </c>
      <c r="B212" s="1" t="s">
        <v>102</v>
      </c>
      <c r="C212" s="1" t="s">
        <v>103</v>
      </c>
      <c r="D212" s="1" t="s">
        <v>104</v>
      </c>
      <c r="E212" s="1" t="s">
        <v>111</v>
      </c>
      <c r="F212" s="1" t="s">
        <v>113</v>
      </c>
      <c r="G212" s="1" t="s">
        <v>106</v>
      </c>
      <c r="H212" s="1" t="s">
        <v>108</v>
      </c>
      <c r="I212" s="1" t="s">
        <v>109</v>
      </c>
      <c r="J212">
        <f t="shared" si="5"/>
        <v>0</v>
      </c>
      <c r="K212">
        <f>COUNTIFS(Grunnspill!$A:$A,Annex!B212)</f>
        <v>0</v>
      </c>
      <c r="L212">
        <f>COUNTIFS(Grunnspill!$A:$A,Annex!C212)</f>
        <v>0</v>
      </c>
      <c r="M212">
        <f>COUNTIFS(Grunnspill!$A:$A,Annex!D212)</f>
        <v>0</v>
      </c>
      <c r="N212">
        <f>COUNTIFS(Grunnspill!$A:$A,Annex!E212)</f>
        <v>0</v>
      </c>
      <c r="O212">
        <f>COUNTIFS(Grunnspill!$A:$A,Annex!F212)</f>
        <v>0</v>
      </c>
      <c r="P212">
        <f>COUNTIFS(Grunnspill!$A:$A,Annex!G212)</f>
        <v>0</v>
      </c>
      <c r="Q212">
        <f>COUNTIFS(Grunnspill!$A:$A,Annex!H212)</f>
        <v>0</v>
      </c>
      <c r="R212">
        <f>COUNTIFS(Grunnspill!$A:$A,Annex!I212)</f>
        <v>0</v>
      </c>
    </row>
    <row r="213" spans="1:18" x14ac:dyDescent="0.2">
      <c r="A213">
        <v>210</v>
      </c>
      <c r="B213" s="1" t="s">
        <v>102</v>
      </c>
      <c r="C213" s="1" t="s">
        <v>103</v>
      </c>
      <c r="D213" s="1" t="s">
        <v>104</v>
      </c>
      <c r="E213" s="1" t="s">
        <v>111</v>
      </c>
      <c r="F213" s="1" t="s">
        <v>113</v>
      </c>
      <c r="G213" s="1" t="s">
        <v>107</v>
      </c>
      <c r="H213" s="1" t="s">
        <v>108</v>
      </c>
      <c r="I213" s="1" t="s">
        <v>109</v>
      </c>
      <c r="J213">
        <f t="shared" si="5"/>
        <v>0</v>
      </c>
      <c r="K213">
        <f>COUNTIFS(Grunnspill!$A:$A,Annex!B213)</f>
        <v>0</v>
      </c>
      <c r="L213">
        <f>COUNTIFS(Grunnspill!$A:$A,Annex!C213)</f>
        <v>0</v>
      </c>
      <c r="M213">
        <f>COUNTIFS(Grunnspill!$A:$A,Annex!D213)</f>
        <v>0</v>
      </c>
      <c r="N213">
        <f>COUNTIFS(Grunnspill!$A:$A,Annex!E213)</f>
        <v>0</v>
      </c>
      <c r="O213">
        <f>COUNTIFS(Grunnspill!$A:$A,Annex!F213)</f>
        <v>0</v>
      </c>
      <c r="P213">
        <f>COUNTIFS(Grunnspill!$A:$A,Annex!G213)</f>
        <v>0</v>
      </c>
      <c r="Q213">
        <f>COUNTIFS(Grunnspill!$A:$A,Annex!H213)</f>
        <v>0</v>
      </c>
      <c r="R213">
        <f>COUNTIFS(Grunnspill!$A:$A,Annex!I213)</f>
        <v>0</v>
      </c>
    </row>
    <row r="214" spans="1:18" x14ac:dyDescent="0.2">
      <c r="A214">
        <v>211</v>
      </c>
      <c r="B214" s="1" t="s">
        <v>102</v>
      </c>
      <c r="C214" s="1" t="s">
        <v>107</v>
      </c>
      <c r="D214" s="1" t="s">
        <v>103</v>
      </c>
      <c r="E214" s="1" t="s">
        <v>111</v>
      </c>
      <c r="F214" s="1" t="s">
        <v>113</v>
      </c>
      <c r="G214" s="1" t="s">
        <v>106</v>
      </c>
      <c r="H214" s="1" t="s">
        <v>108</v>
      </c>
      <c r="I214" s="1" t="s">
        <v>109</v>
      </c>
      <c r="J214">
        <f t="shared" ref="J214:J277" si="6">SUM(K214:R214)</f>
        <v>0</v>
      </c>
      <c r="K214">
        <f>COUNTIFS(Grunnspill!$A:$A,Annex!B214)</f>
        <v>0</v>
      </c>
      <c r="L214">
        <f>COUNTIFS(Grunnspill!$A:$A,Annex!C214)</f>
        <v>0</v>
      </c>
      <c r="M214">
        <f>COUNTIFS(Grunnspill!$A:$A,Annex!D214)</f>
        <v>0</v>
      </c>
      <c r="N214">
        <f>COUNTIFS(Grunnspill!$A:$A,Annex!E214)</f>
        <v>0</v>
      </c>
      <c r="O214">
        <f>COUNTIFS(Grunnspill!$A:$A,Annex!F214)</f>
        <v>0</v>
      </c>
      <c r="P214">
        <f>COUNTIFS(Grunnspill!$A:$A,Annex!G214)</f>
        <v>0</v>
      </c>
      <c r="Q214">
        <f>COUNTIFS(Grunnspill!$A:$A,Annex!H214)</f>
        <v>0</v>
      </c>
      <c r="R214">
        <f>COUNTIFS(Grunnspill!$A:$A,Annex!I214)</f>
        <v>0</v>
      </c>
    </row>
    <row r="215" spans="1:18" x14ac:dyDescent="0.2">
      <c r="A215">
        <v>212</v>
      </c>
      <c r="B215" s="1" t="s">
        <v>102</v>
      </c>
      <c r="C215" s="1" t="s">
        <v>107</v>
      </c>
      <c r="D215" s="1" t="s">
        <v>104</v>
      </c>
      <c r="E215" s="1" t="s">
        <v>111</v>
      </c>
      <c r="F215" s="1" t="s">
        <v>113</v>
      </c>
      <c r="G215" s="1" t="s">
        <v>106</v>
      </c>
      <c r="H215" s="1" t="s">
        <v>108</v>
      </c>
      <c r="I215" s="1" t="s">
        <v>109</v>
      </c>
      <c r="J215">
        <f t="shared" si="6"/>
        <v>0</v>
      </c>
      <c r="K215">
        <f>COUNTIFS(Grunnspill!$A:$A,Annex!B215)</f>
        <v>0</v>
      </c>
      <c r="L215">
        <f>COUNTIFS(Grunnspill!$A:$A,Annex!C215)</f>
        <v>0</v>
      </c>
      <c r="M215">
        <f>COUNTIFS(Grunnspill!$A:$A,Annex!D215)</f>
        <v>0</v>
      </c>
      <c r="N215">
        <f>COUNTIFS(Grunnspill!$A:$A,Annex!E215)</f>
        <v>0</v>
      </c>
      <c r="O215">
        <f>COUNTIFS(Grunnspill!$A:$A,Annex!F215)</f>
        <v>0</v>
      </c>
      <c r="P215">
        <f>COUNTIFS(Grunnspill!$A:$A,Annex!G215)</f>
        <v>0</v>
      </c>
      <c r="Q215">
        <f>COUNTIFS(Grunnspill!$A:$A,Annex!H215)</f>
        <v>0</v>
      </c>
      <c r="R215">
        <f>COUNTIFS(Grunnspill!$A:$A,Annex!I215)</f>
        <v>0</v>
      </c>
    </row>
    <row r="216" spans="1:18" x14ac:dyDescent="0.2">
      <c r="A216">
        <v>213</v>
      </c>
      <c r="B216" s="1" t="s">
        <v>102</v>
      </c>
      <c r="C216" s="1" t="s">
        <v>107</v>
      </c>
      <c r="D216" s="1" t="s">
        <v>103</v>
      </c>
      <c r="E216" s="1" t="s">
        <v>111</v>
      </c>
      <c r="F216" s="1" t="s">
        <v>113</v>
      </c>
      <c r="G216" s="1" t="s">
        <v>106</v>
      </c>
      <c r="H216" s="1" t="s">
        <v>108</v>
      </c>
      <c r="I216" s="1" t="s">
        <v>104</v>
      </c>
      <c r="J216">
        <f t="shared" si="6"/>
        <v>0</v>
      </c>
      <c r="K216">
        <f>COUNTIFS(Grunnspill!$A:$A,Annex!B216)</f>
        <v>0</v>
      </c>
      <c r="L216">
        <f>COUNTIFS(Grunnspill!$A:$A,Annex!C216)</f>
        <v>0</v>
      </c>
      <c r="M216">
        <f>COUNTIFS(Grunnspill!$A:$A,Annex!D216)</f>
        <v>0</v>
      </c>
      <c r="N216">
        <f>COUNTIFS(Grunnspill!$A:$A,Annex!E216)</f>
        <v>0</v>
      </c>
      <c r="O216">
        <f>COUNTIFS(Grunnspill!$A:$A,Annex!F216)</f>
        <v>0</v>
      </c>
      <c r="P216">
        <f>COUNTIFS(Grunnspill!$A:$A,Annex!G216)</f>
        <v>0</v>
      </c>
      <c r="Q216">
        <f>COUNTIFS(Grunnspill!$A:$A,Annex!H216)</f>
        <v>0</v>
      </c>
      <c r="R216">
        <f>COUNTIFS(Grunnspill!$A:$A,Annex!I216)</f>
        <v>0</v>
      </c>
    </row>
    <row r="217" spans="1:18" x14ac:dyDescent="0.2">
      <c r="A217">
        <v>214</v>
      </c>
      <c r="B217" s="1" t="s">
        <v>102</v>
      </c>
      <c r="C217" s="1" t="s">
        <v>107</v>
      </c>
      <c r="D217" s="1" t="s">
        <v>103</v>
      </c>
      <c r="E217" s="1" t="s">
        <v>111</v>
      </c>
      <c r="F217" s="1" t="s">
        <v>113</v>
      </c>
      <c r="G217" s="1" t="s">
        <v>106</v>
      </c>
      <c r="H217" s="1" t="s">
        <v>104</v>
      </c>
      <c r="I217" s="1" t="s">
        <v>109</v>
      </c>
      <c r="J217">
        <f t="shared" si="6"/>
        <v>0</v>
      </c>
      <c r="K217">
        <f>COUNTIFS(Grunnspill!$A:$A,Annex!B217)</f>
        <v>0</v>
      </c>
      <c r="L217">
        <f>COUNTIFS(Grunnspill!$A:$A,Annex!C217)</f>
        <v>0</v>
      </c>
      <c r="M217">
        <f>COUNTIFS(Grunnspill!$A:$A,Annex!D217)</f>
        <v>0</v>
      </c>
      <c r="N217">
        <f>COUNTIFS(Grunnspill!$A:$A,Annex!E217)</f>
        <v>0</v>
      </c>
      <c r="O217">
        <f>COUNTIFS(Grunnspill!$A:$A,Annex!F217)</f>
        <v>0</v>
      </c>
      <c r="P217">
        <f>COUNTIFS(Grunnspill!$A:$A,Annex!G217)</f>
        <v>0</v>
      </c>
      <c r="Q217">
        <f>COUNTIFS(Grunnspill!$A:$A,Annex!H217)</f>
        <v>0</v>
      </c>
      <c r="R217">
        <f>COUNTIFS(Grunnspill!$A:$A,Annex!I217)</f>
        <v>0</v>
      </c>
    </row>
    <row r="218" spans="1:18" x14ac:dyDescent="0.2">
      <c r="A218">
        <v>215</v>
      </c>
      <c r="B218" s="1" t="s">
        <v>102</v>
      </c>
      <c r="C218" s="1" t="s">
        <v>103</v>
      </c>
      <c r="D218" s="1" t="s">
        <v>104</v>
      </c>
      <c r="E218" s="1" t="s">
        <v>111</v>
      </c>
      <c r="F218" s="1" t="s">
        <v>113</v>
      </c>
      <c r="G218" s="1" t="s">
        <v>105</v>
      </c>
      <c r="H218" s="1" t="s">
        <v>108</v>
      </c>
      <c r="I218" s="1" t="s">
        <v>109</v>
      </c>
      <c r="J218">
        <f t="shared" si="6"/>
        <v>0</v>
      </c>
      <c r="K218">
        <f>COUNTIFS(Grunnspill!$A:$A,Annex!B218)</f>
        <v>0</v>
      </c>
      <c r="L218">
        <f>COUNTIFS(Grunnspill!$A:$A,Annex!C218)</f>
        <v>0</v>
      </c>
      <c r="M218">
        <f>COUNTIFS(Grunnspill!$A:$A,Annex!D218)</f>
        <v>0</v>
      </c>
      <c r="N218">
        <f>COUNTIFS(Grunnspill!$A:$A,Annex!E218)</f>
        <v>0</v>
      </c>
      <c r="O218">
        <f>COUNTIFS(Grunnspill!$A:$A,Annex!F218)</f>
        <v>0</v>
      </c>
      <c r="P218">
        <f>COUNTIFS(Grunnspill!$A:$A,Annex!G218)</f>
        <v>0</v>
      </c>
      <c r="Q218">
        <f>COUNTIFS(Grunnspill!$A:$A,Annex!H218)</f>
        <v>0</v>
      </c>
      <c r="R218">
        <f>COUNTIFS(Grunnspill!$A:$A,Annex!I218)</f>
        <v>0</v>
      </c>
    </row>
    <row r="219" spans="1:18" x14ac:dyDescent="0.2">
      <c r="A219">
        <v>216</v>
      </c>
      <c r="B219" s="1" t="s">
        <v>106</v>
      </c>
      <c r="C219" s="1" t="s">
        <v>103</v>
      </c>
      <c r="D219" s="1" t="s">
        <v>102</v>
      </c>
      <c r="E219" s="1" t="s">
        <v>111</v>
      </c>
      <c r="F219" s="1" t="s">
        <v>113</v>
      </c>
      <c r="G219" s="1" t="s">
        <v>105</v>
      </c>
      <c r="H219" s="1" t="s">
        <v>108</v>
      </c>
      <c r="I219" s="1" t="s">
        <v>109</v>
      </c>
      <c r="J219">
        <f t="shared" si="6"/>
        <v>0</v>
      </c>
      <c r="K219">
        <f>COUNTIFS(Grunnspill!$A:$A,Annex!B219)</f>
        <v>0</v>
      </c>
      <c r="L219">
        <f>COUNTIFS(Grunnspill!$A:$A,Annex!C219)</f>
        <v>0</v>
      </c>
      <c r="M219">
        <f>COUNTIFS(Grunnspill!$A:$A,Annex!D219)</f>
        <v>0</v>
      </c>
      <c r="N219">
        <f>COUNTIFS(Grunnspill!$A:$A,Annex!E219)</f>
        <v>0</v>
      </c>
      <c r="O219">
        <f>COUNTIFS(Grunnspill!$A:$A,Annex!F219)</f>
        <v>0</v>
      </c>
      <c r="P219">
        <f>COUNTIFS(Grunnspill!$A:$A,Annex!G219)</f>
        <v>0</v>
      </c>
      <c r="Q219">
        <f>COUNTIFS(Grunnspill!$A:$A,Annex!H219)</f>
        <v>0</v>
      </c>
      <c r="R219">
        <f>COUNTIFS(Grunnspill!$A:$A,Annex!I219)</f>
        <v>0</v>
      </c>
    </row>
    <row r="220" spans="1:18" x14ac:dyDescent="0.2">
      <c r="A220">
        <v>217</v>
      </c>
      <c r="B220" s="1" t="s">
        <v>106</v>
      </c>
      <c r="C220" s="1" t="s">
        <v>102</v>
      </c>
      <c r="D220" s="1" t="s">
        <v>104</v>
      </c>
      <c r="E220" s="1" t="s">
        <v>111</v>
      </c>
      <c r="F220" s="1" t="s">
        <v>113</v>
      </c>
      <c r="G220" s="1" t="s">
        <v>105</v>
      </c>
      <c r="H220" s="1" t="s">
        <v>108</v>
      </c>
      <c r="I220" s="1" t="s">
        <v>109</v>
      </c>
      <c r="J220">
        <f t="shared" si="6"/>
        <v>0</v>
      </c>
      <c r="K220">
        <f>COUNTIFS(Grunnspill!$A:$A,Annex!B220)</f>
        <v>0</v>
      </c>
      <c r="L220">
        <f>COUNTIFS(Grunnspill!$A:$A,Annex!C220)</f>
        <v>0</v>
      </c>
      <c r="M220">
        <f>COUNTIFS(Grunnspill!$A:$A,Annex!D220)</f>
        <v>0</v>
      </c>
      <c r="N220">
        <f>COUNTIFS(Grunnspill!$A:$A,Annex!E220)</f>
        <v>0</v>
      </c>
      <c r="O220">
        <f>COUNTIFS(Grunnspill!$A:$A,Annex!F220)</f>
        <v>0</v>
      </c>
      <c r="P220">
        <f>COUNTIFS(Grunnspill!$A:$A,Annex!G220)</f>
        <v>0</v>
      </c>
      <c r="Q220">
        <f>COUNTIFS(Grunnspill!$A:$A,Annex!H220)</f>
        <v>0</v>
      </c>
      <c r="R220">
        <f>COUNTIFS(Grunnspill!$A:$A,Annex!I220)</f>
        <v>0</v>
      </c>
    </row>
    <row r="221" spans="1:18" x14ac:dyDescent="0.2">
      <c r="A221">
        <v>218</v>
      </c>
      <c r="B221" s="1" t="s">
        <v>106</v>
      </c>
      <c r="C221" s="1" t="s">
        <v>103</v>
      </c>
      <c r="D221" s="1" t="s">
        <v>102</v>
      </c>
      <c r="E221" s="1" t="s">
        <v>111</v>
      </c>
      <c r="F221" s="1" t="s">
        <v>113</v>
      </c>
      <c r="G221" s="1" t="s">
        <v>105</v>
      </c>
      <c r="H221" s="1" t="s">
        <v>108</v>
      </c>
      <c r="I221" s="1" t="s">
        <v>104</v>
      </c>
      <c r="J221">
        <f t="shared" si="6"/>
        <v>0</v>
      </c>
      <c r="K221">
        <f>COUNTIFS(Grunnspill!$A:$A,Annex!B221)</f>
        <v>0</v>
      </c>
      <c r="L221">
        <f>COUNTIFS(Grunnspill!$A:$A,Annex!C221)</f>
        <v>0</v>
      </c>
      <c r="M221">
        <f>COUNTIFS(Grunnspill!$A:$A,Annex!D221)</f>
        <v>0</v>
      </c>
      <c r="N221">
        <f>COUNTIFS(Grunnspill!$A:$A,Annex!E221)</f>
        <v>0</v>
      </c>
      <c r="O221">
        <f>COUNTIFS(Grunnspill!$A:$A,Annex!F221)</f>
        <v>0</v>
      </c>
      <c r="P221">
        <f>COUNTIFS(Grunnspill!$A:$A,Annex!G221)</f>
        <v>0</v>
      </c>
      <c r="Q221">
        <f>COUNTIFS(Grunnspill!$A:$A,Annex!H221)</f>
        <v>0</v>
      </c>
      <c r="R221">
        <f>COUNTIFS(Grunnspill!$A:$A,Annex!I221)</f>
        <v>0</v>
      </c>
    </row>
    <row r="222" spans="1:18" x14ac:dyDescent="0.2">
      <c r="A222">
        <v>219</v>
      </c>
      <c r="B222" s="1" t="s">
        <v>106</v>
      </c>
      <c r="C222" s="1" t="s">
        <v>103</v>
      </c>
      <c r="D222" s="1" t="s">
        <v>102</v>
      </c>
      <c r="E222" s="1" t="s">
        <v>111</v>
      </c>
      <c r="F222" s="1" t="s">
        <v>113</v>
      </c>
      <c r="G222" s="1" t="s">
        <v>105</v>
      </c>
      <c r="H222" s="1" t="s">
        <v>104</v>
      </c>
      <c r="I222" s="1" t="s">
        <v>109</v>
      </c>
      <c r="J222">
        <f t="shared" si="6"/>
        <v>0</v>
      </c>
      <c r="K222">
        <f>COUNTIFS(Grunnspill!$A:$A,Annex!B222)</f>
        <v>0</v>
      </c>
      <c r="L222">
        <f>COUNTIFS(Grunnspill!$A:$A,Annex!C222)</f>
        <v>0</v>
      </c>
      <c r="M222">
        <f>COUNTIFS(Grunnspill!$A:$A,Annex!D222)</f>
        <v>0</v>
      </c>
      <c r="N222">
        <f>COUNTIFS(Grunnspill!$A:$A,Annex!E222)</f>
        <v>0</v>
      </c>
      <c r="O222">
        <f>COUNTIFS(Grunnspill!$A:$A,Annex!F222)</f>
        <v>0</v>
      </c>
      <c r="P222">
        <f>COUNTIFS(Grunnspill!$A:$A,Annex!G222)</f>
        <v>0</v>
      </c>
      <c r="Q222">
        <f>COUNTIFS(Grunnspill!$A:$A,Annex!H222)</f>
        <v>0</v>
      </c>
      <c r="R222">
        <f>COUNTIFS(Grunnspill!$A:$A,Annex!I222)</f>
        <v>0</v>
      </c>
    </row>
    <row r="223" spans="1:18" x14ac:dyDescent="0.2">
      <c r="A223">
        <v>220</v>
      </c>
      <c r="B223" s="1" t="s">
        <v>102</v>
      </c>
      <c r="C223" s="1" t="s">
        <v>107</v>
      </c>
      <c r="D223" s="1" t="s">
        <v>103</v>
      </c>
      <c r="E223" s="1" t="s">
        <v>111</v>
      </c>
      <c r="F223" s="1" t="s">
        <v>113</v>
      </c>
      <c r="G223" s="1" t="s">
        <v>105</v>
      </c>
      <c r="H223" s="1" t="s">
        <v>108</v>
      </c>
      <c r="I223" s="1" t="s">
        <v>109</v>
      </c>
      <c r="J223">
        <f t="shared" si="6"/>
        <v>0</v>
      </c>
      <c r="K223">
        <f>COUNTIFS(Grunnspill!$A:$A,Annex!B223)</f>
        <v>0</v>
      </c>
      <c r="L223">
        <f>COUNTIFS(Grunnspill!$A:$A,Annex!C223)</f>
        <v>0</v>
      </c>
      <c r="M223">
        <f>COUNTIFS(Grunnspill!$A:$A,Annex!D223)</f>
        <v>0</v>
      </c>
      <c r="N223">
        <f>COUNTIFS(Grunnspill!$A:$A,Annex!E223)</f>
        <v>0</v>
      </c>
      <c r="O223">
        <f>COUNTIFS(Grunnspill!$A:$A,Annex!F223)</f>
        <v>0</v>
      </c>
      <c r="P223">
        <f>COUNTIFS(Grunnspill!$A:$A,Annex!G223)</f>
        <v>0</v>
      </c>
      <c r="Q223">
        <f>COUNTIFS(Grunnspill!$A:$A,Annex!H223)</f>
        <v>0</v>
      </c>
      <c r="R223">
        <f>COUNTIFS(Grunnspill!$A:$A,Annex!I223)</f>
        <v>0</v>
      </c>
    </row>
    <row r="224" spans="1:18" x14ac:dyDescent="0.2">
      <c r="A224">
        <v>221</v>
      </c>
      <c r="B224" s="1" t="s">
        <v>102</v>
      </c>
      <c r="C224" s="1" t="s">
        <v>107</v>
      </c>
      <c r="D224" s="1" t="s">
        <v>104</v>
      </c>
      <c r="E224" s="1" t="s">
        <v>111</v>
      </c>
      <c r="F224" s="1" t="s">
        <v>113</v>
      </c>
      <c r="G224" s="1" t="s">
        <v>105</v>
      </c>
      <c r="H224" s="1" t="s">
        <v>108</v>
      </c>
      <c r="I224" s="1" t="s">
        <v>109</v>
      </c>
      <c r="J224">
        <f t="shared" si="6"/>
        <v>0</v>
      </c>
      <c r="K224">
        <f>COUNTIFS(Grunnspill!$A:$A,Annex!B224)</f>
        <v>0</v>
      </c>
      <c r="L224">
        <f>COUNTIFS(Grunnspill!$A:$A,Annex!C224)</f>
        <v>0</v>
      </c>
      <c r="M224">
        <f>COUNTIFS(Grunnspill!$A:$A,Annex!D224)</f>
        <v>0</v>
      </c>
      <c r="N224">
        <f>COUNTIFS(Grunnspill!$A:$A,Annex!E224)</f>
        <v>0</v>
      </c>
      <c r="O224">
        <f>COUNTIFS(Grunnspill!$A:$A,Annex!F224)</f>
        <v>0</v>
      </c>
      <c r="P224">
        <f>COUNTIFS(Grunnspill!$A:$A,Annex!G224)</f>
        <v>0</v>
      </c>
      <c r="Q224">
        <f>COUNTIFS(Grunnspill!$A:$A,Annex!H224)</f>
        <v>0</v>
      </c>
      <c r="R224">
        <f>COUNTIFS(Grunnspill!$A:$A,Annex!I224)</f>
        <v>0</v>
      </c>
    </row>
    <row r="225" spans="1:18" x14ac:dyDescent="0.2">
      <c r="A225">
        <v>222</v>
      </c>
      <c r="B225" s="1" t="s">
        <v>102</v>
      </c>
      <c r="C225" s="1" t="s">
        <v>107</v>
      </c>
      <c r="D225" s="1" t="s">
        <v>103</v>
      </c>
      <c r="E225" s="1" t="s">
        <v>111</v>
      </c>
      <c r="F225" s="1" t="s">
        <v>113</v>
      </c>
      <c r="G225" s="1" t="s">
        <v>105</v>
      </c>
      <c r="H225" s="1" t="s">
        <v>108</v>
      </c>
      <c r="I225" s="1" t="s">
        <v>104</v>
      </c>
      <c r="J225">
        <f t="shared" si="6"/>
        <v>0</v>
      </c>
      <c r="K225">
        <f>COUNTIFS(Grunnspill!$A:$A,Annex!B225)</f>
        <v>0</v>
      </c>
      <c r="L225">
        <f>COUNTIFS(Grunnspill!$A:$A,Annex!C225)</f>
        <v>0</v>
      </c>
      <c r="M225">
        <f>COUNTIFS(Grunnspill!$A:$A,Annex!D225)</f>
        <v>0</v>
      </c>
      <c r="N225">
        <f>COUNTIFS(Grunnspill!$A:$A,Annex!E225)</f>
        <v>0</v>
      </c>
      <c r="O225">
        <f>COUNTIFS(Grunnspill!$A:$A,Annex!F225)</f>
        <v>0</v>
      </c>
      <c r="P225">
        <f>COUNTIFS(Grunnspill!$A:$A,Annex!G225)</f>
        <v>0</v>
      </c>
      <c r="Q225">
        <f>COUNTIFS(Grunnspill!$A:$A,Annex!H225)</f>
        <v>0</v>
      </c>
      <c r="R225">
        <f>COUNTIFS(Grunnspill!$A:$A,Annex!I225)</f>
        <v>0</v>
      </c>
    </row>
    <row r="226" spans="1:18" x14ac:dyDescent="0.2">
      <c r="A226">
        <v>223</v>
      </c>
      <c r="B226" s="1" t="s">
        <v>102</v>
      </c>
      <c r="C226" s="1" t="s">
        <v>107</v>
      </c>
      <c r="D226" s="1" t="s">
        <v>103</v>
      </c>
      <c r="E226" s="1" t="s">
        <v>111</v>
      </c>
      <c r="F226" s="1" t="s">
        <v>113</v>
      </c>
      <c r="G226" s="1" t="s">
        <v>105</v>
      </c>
      <c r="H226" s="1" t="s">
        <v>104</v>
      </c>
      <c r="I226" s="1" t="s">
        <v>109</v>
      </c>
      <c r="J226">
        <f t="shared" si="6"/>
        <v>0</v>
      </c>
      <c r="K226">
        <f>COUNTIFS(Grunnspill!$A:$A,Annex!B226)</f>
        <v>0</v>
      </c>
      <c r="L226">
        <f>COUNTIFS(Grunnspill!$A:$A,Annex!C226)</f>
        <v>0</v>
      </c>
      <c r="M226">
        <f>COUNTIFS(Grunnspill!$A:$A,Annex!D226)</f>
        <v>0</v>
      </c>
      <c r="N226">
        <f>COUNTIFS(Grunnspill!$A:$A,Annex!E226)</f>
        <v>0</v>
      </c>
      <c r="O226">
        <f>COUNTIFS(Grunnspill!$A:$A,Annex!F226)</f>
        <v>0</v>
      </c>
      <c r="P226">
        <f>COUNTIFS(Grunnspill!$A:$A,Annex!G226)</f>
        <v>0</v>
      </c>
      <c r="Q226">
        <f>COUNTIFS(Grunnspill!$A:$A,Annex!H226)</f>
        <v>0</v>
      </c>
      <c r="R226">
        <f>COUNTIFS(Grunnspill!$A:$A,Annex!I226)</f>
        <v>0</v>
      </c>
    </row>
    <row r="227" spans="1:18" x14ac:dyDescent="0.2">
      <c r="A227">
        <v>224</v>
      </c>
      <c r="B227" s="1" t="s">
        <v>106</v>
      </c>
      <c r="C227" s="1" t="s">
        <v>107</v>
      </c>
      <c r="D227" s="1" t="s">
        <v>102</v>
      </c>
      <c r="E227" s="1" t="s">
        <v>111</v>
      </c>
      <c r="F227" s="1" t="s">
        <v>113</v>
      </c>
      <c r="G227" s="1" t="s">
        <v>105</v>
      </c>
      <c r="H227" s="1" t="s">
        <v>108</v>
      </c>
      <c r="I227" s="1" t="s">
        <v>109</v>
      </c>
      <c r="J227">
        <f t="shared" si="6"/>
        <v>0</v>
      </c>
      <c r="K227">
        <f>COUNTIFS(Grunnspill!$A:$A,Annex!B227)</f>
        <v>0</v>
      </c>
      <c r="L227">
        <f>COUNTIFS(Grunnspill!$A:$A,Annex!C227)</f>
        <v>0</v>
      </c>
      <c r="M227">
        <f>COUNTIFS(Grunnspill!$A:$A,Annex!D227)</f>
        <v>0</v>
      </c>
      <c r="N227">
        <f>COUNTIFS(Grunnspill!$A:$A,Annex!E227)</f>
        <v>0</v>
      </c>
      <c r="O227">
        <f>COUNTIFS(Grunnspill!$A:$A,Annex!F227)</f>
        <v>0</v>
      </c>
      <c r="P227">
        <f>COUNTIFS(Grunnspill!$A:$A,Annex!G227)</f>
        <v>0</v>
      </c>
      <c r="Q227">
        <f>COUNTIFS(Grunnspill!$A:$A,Annex!H227)</f>
        <v>0</v>
      </c>
      <c r="R227">
        <f>COUNTIFS(Grunnspill!$A:$A,Annex!I227)</f>
        <v>0</v>
      </c>
    </row>
    <row r="228" spans="1:18" x14ac:dyDescent="0.2">
      <c r="A228">
        <v>225</v>
      </c>
      <c r="B228" s="1" t="s">
        <v>106</v>
      </c>
      <c r="C228" s="1" t="s">
        <v>107</v>
      </c>
      <c r="D228" s="1" t="s">
        <v>103</v>
      </c>
      <c r="E228" s="1" t="s">
        <v>111</v>
      </c>
      <c r="F228" s="1" t="s">
        <v>113</v>
      </c>
      <c r="G228" s="1" t="s">
        <v>105</v>
      </c>
      <c r="H228" s="1" t="s">
        <v>108</v>
      </c>
      <c r="I228" s="1" t="s">
        <v>102</v>
      </c>
      <c r="J228">
        <f t="shared" si="6"/>
        <v>0</v>
      </c>
      <c r="K228">
        <f>COUNTIFS(Grunnspill!$A:$A,Annex!B228)</f>
        <v>0</v>
      </c>
      <c r="L228">
        <f>COUNTIFS(Grunnspill!$A:$A,Annex!C228)</f>
        <v>0</v>
      </c>
      <c r="M228">
        <f>COUNTIFS(Grunnspill!$A:$A,Annex!D228)</f>
        <v>0</v>
      </c>
      <c r="N228">
        <f>COUNTIFS(Grunnspill!$A:$A,Annex!E228)</f>
        <v>0</v>
      </c>
      <c r="O228">
        <f>COUNTIFS(Grunnspill!$A:$A,Annex!F228)</f>
        <v>0</v>
      </c>
      <c r="P228">
        <f>COUNTIFS(Grunnspill!$A:$A,Annex!G228)</f>
        <v>0</v>
      </c>
      <c r="Q228">
        <f>COUNTIFS(Grunnspill!$A:$A,Annex!H228)</f>
        <v>0</v>
      </c>
      <c r="R228">
        <f>COUNTIFS(Grunnspill!$A:$A,Annex!I228)</f>
        <v>0</v>
      </c>
    </row>
    <row r="229" spans="1:18" x14ac:dyDescent="0.2">
      <c r="A229">
        <v>226</v>
      </c>
      <c r="B229" s="1" t="s">
        <v>106</v>
      </c>
      <c r="C229" s="1" t="s">
        <v>107</v>
      </c>
      <c r="D229" s="1" t="s">
        <v>103</v>
      </c>
      <c r="E229" s="1" t="s">
        <v>111</v>
      </c>
      <c r="F229" s="1" t="s">
        <v>113</v>
      </c>
      <c r="G229" s="1" t="s">
        <v>105</v>
      </c>
      <c r="H229" s="1" t="s">
        <v>102</v>
      </c>
      <c r="I229" s="1" t="s">
        <v>109</v>
      </c>
      <c r="J229">
        <f t="shared" si="6"/>
        <v>0</v>
      </c>
      <c r="K229">
        <f>COUNTIFS(Grunnspill!$A:$A,Annex!B229)</f>
        <v>0</v>
      </c>
      <c r="L229">
        <f>COUNTIFS(Grunnspill!$A:$A,Annex!C229)</f>
        <v>0</v>
      </c>
      <c r="M229">
        <f>COUNTIFS(Grunnspill!$A:$A,Annex!D229)</f>
        <v>0</v>
      </c>
      <c r="N229">
        <f>COUNTIFS(Grunnspill!$A:$A,Annex!E229)</f>
        <v>0</v>
      </c>
      <c r="O229">
        <f>COUNTIFS(Grunnspill!$A:$A,Annex!F229)</f>
        <v>0</v>
      </c>
      <c r="P229">
        <f>COUNTIFS(Grunnspill!$A:$A,Annex!G229)</f>
        <v>0</v>
      </c>
      <c r="Q229">
        <f>COUNTIFS(Grunnspill!$A:$A,Annex!H229)</f>
        <v>0</v>
      </c>
      <c r="R229">
        <f>COUNTIFS(Grunnspill!$A:$A,Annex!I229)</f>
        <v>0</v>
      </c>
    </row>
    <row r="230" spans="1:18" x14ac:dyDescent="0.2">
      <c r="A230">
        <v>227</v>
      </c>
      <c r="B230" s="1" t="s">
        <v>106</v>
      </c>
      <c r="C230" s="1" t="s">
        <v>107</v>
      </c>
      <c r="D230" s="1" t="s">
        <v>102</v>
      </c>
      <c r="E230" s="1" t="s">
        <v>111</v>
      </c>
      <c r="F230" s="1" t="s">
        <v>113</v>
      </c>
      <c r="G230" s="1" t="s">
        <v>105</v>
      </c>
      <c r="H230" s="1" t="s">
        <v>108</v>
      </c>
      <c r="I230" s="1" t="s">
        <v>104</v>
      </c>
      <c r="J230">
        <f t="shared" si="6"/>
        <v>0</v>
      </c>
      <c r="K230">
        <f>COUNTIFS(Grunnspill!$A:$A,Annex!B230)</f>
        <v>0</v>
      </c>
      <c r="L230">
        <f>COUNTIFS(Grunnspill!$A:$A,Annex!C230)</f>
        <v>0</v>
      </c>
      <c r="M230">
        <f>COUNTIFS(Grunnspill!$A:$A,Annex!D230)</f>
        <v>0</v>
      </c>
      <c r="N230">
        <f>COUNTIFS(Grunnspill!$A:$A,Annex!E230)</f>
        <v>0</v>
      </c>
      <c r="O230">
        <f>COUNTIFS(Grunnspill!$A:$A,Annex!F230)</f>
        <v>0</v>
      </c>
      <c r="P230">
        <f>COUNTIFS(Grunnspill!$A:$A,Annex!G230)</f>
        <v>0</v>
      </c>
      <c r="Q230">
        <f>COUNTIFS(Grunnspill!$A:$A,Annex!H230)</f>
        <v>0</v>
      </c>
      <c r="R230">
        <f>COUNTIFS(Grunnspill!$A:$A,Annex!I230)</f>
        <v>0</v>
      </c>
    </row>
    <row r="231" spans="1:18" x14ac:dyDescent="0.2">
      <c r="A231">
        <v>228</v>
      </c>
      <c r="B231" s="1" t="s">
        <v>106</v>
      </c>
      <c r="C231" s="1" t="s">
        <v>107</v>
      </c>
      <c r="D231" s="1" t="s">
        <v>102</v>
      </c>
      <c r="E231" s="1" t="s">
        <v>111</v>
      </c>
      <c r="F231" s="1" t="s">
        <v>113</v>
      </c>
      <c r="G231" s="1" t="s">
        <v>105</v>
      </c>
      <c r="H231" s="1" t="s">
        <v>104</v>
      </c>
      <c r="I231" s="1" t="s">
        <v>109</v>
      </c>
      <c r="J231">
        <f t="shared" si="6"/>
        <v>0</v>
      </c>
      <c r="K231">
        <f>COUNTIFS(Grunnspill!$A:$A,Annex!B231)</f>
        <v>0</v>
      </c>
      <c r="L231">
        <f>COUNTIFS(Grunnspill!$A:$A,Annex!C231)</f>
        <v>0</v>
      </c>
      <c r="M231">
        <f>COUNTIFS(Grunnspill!$A:$A,Annex!D231)</f>
        <v>0</v>
      </c>
      <c r="N231">
        <f>COUNTIFS(Grunnspill!$A:$A,Annex!E231)</f>
        <v>0</v>
      </c>
      <c r="O231">
        <f>COUNTIFS(Grunnspill!$A:$A,Annex!F231)</f>
        <v>0</v>
      </c>
      <c r="P231">
        <f>COUNTIFS(Grunnspill!$A:$A,Annex!G231)</f>
        <v>0</v>
      </c>
      <c r="Q231">
        <f>COUNTIFS(Grunnspill!$A:$A,Annex!H231)</f>
        <v>0</v>
      </c>
      <c r="R231">
        <f>COUNTIFS(Grunnspill!$A:$A,Annex!I231)</f>
        <v>0</v>
      </c>
    </row>
    <row r="232" spans="1:18" x14ac:dyDescent="0.2">
      <c r="A232">
        <v>229</v>
      </c>
      <c r="B232" s="1" t="s">
        <v>106</v>
      </c>
      <c r="C232" s="1" t="s">
        <v>107</v>
      </c>
      <c r="D232" s="1" t="s">
        <v>103</v>
      </c>
      <c r="E232" s="1" t="s">
        <v>111</v>
      </c>
      <c r="F232" s="1" t="s">
        <v>113</v>
      </c>
      <c r="G232" s="1" t="s">
        <v>105</v>
      </c>
      <c r="H232" s="1" t="s">
        <v>102</v>
      </c>
      <c r="I232" s="1" t="s">
        <v>104</v>
      </c>
      <c r="J232">
        <f t="shared" si="6"/>
        <v>0</v>
      </c>
      <c r="K232">
        <f>COUNTIFS(Grunnspill!$A:$A,Annex!B232)</f>
        <v>0</v>
      </c>
      <c r="L232">
        <f>COUNTIFS(Grunnspill!$A:$A,Annex!C232)</f>
        <v>0</v>
      </c>
      <c r="M232">
        <f>COUNTIFS(Grunnspill!$A:$A,Annex!D232)</f>
        <v>0</v>
      </c>
      <c r="N232">
        <f>COUNTIFS(Grunnspill!$A:$A,Annex!E232)</f>
        <v>0</v>
      </c>
      <c r="O232">
        <f>COUNTIFS(Grunnspill!$A:$A,Annex!F232)</f>
        <v>0</v>
      </c>
      <c r="P232">
        <f>COUNTIFS(Grunnspill!$A:$A,Annex!G232)</f>
        <v>0</v>
      </c>
      <c r="Q232">
        <f>COUNTIFS(Grunnspill!$A:$A,Annex!H232)</f>
        <v>0</v>
      </c>
      <c r="R232">
        <f>COUNTIFS(Grunnspill!$A:$A,Annex!I232)</f>
        <v>0</v>
      </c>
    </row>
    <row r="233" spans="1:18" x14ac:dyDescent="0.2">
      <c r="A233">
        <v>230</v>
      </c>
      <c r="B233" s="1" t="s">
        <v>106</v>
      </c>
      <c r="C233" s="1" t="s">
        <v>103</v>
      </c>
      <c r="D233" s="1" t="s">
        <v>104</v>
      </c>
      <c r="E233" s="1" t="s">
        <v>111</v>
      </c>
      <c r="F233" s="1" t="s">
        <v>113</v>
      </c>
      <c r="G233" s="1" t="s">
        <v>110</v>
      </c>
      <c r="H233" s="1" t="s">
        <v>108</v>
      </c>
      <c r="I233" s="1" t="s">
        <v>109</v>
      </c>
      <c r="J233">
        <f t="shared" si="6"/>
        <v>0</v>
      </c>
      <c r="K233">
        <f>COUNTIFS(Grunnspill!$A:$A,Annex!B233)</f>
        <v>0</v>
      </c>
      <c r="L233">
        <f>COUNTIFS(Grunnspill!$A:$A,Annex!C233)</f>
        <v>0</v>
      </c>
      <c r="M233">
        <f>COUNTIFS(Grunnspill!$A:$A,Annex!D233)</f>
        <v>0</v>
      </c>
      <c r="N233">
        <f>COUNTIFS(Grunnspill!$A:$A,Annex!E233)</f>
        <v>0</v>
      </c>
      <c r="O233">
        <f>COUNTIFS(Grunnspill!$A:$A,Annex!F233)</f>
        <v>0</v>
      </c>
      <c r="P233">
        <f>COUNTIFS(Grunnspill!$A:$A,Annex!G233)</f>
        <v>0</v>
      </c>
      <c r="Q233">
        <f>COUNTIFS(Grunnspill!$A:$A,Annex!H233)</f>
        <v>0</v>
      </c>
      <c r="R233">
        <f>COUNTIFS(Grunnspill!$A:$A,Annex!I233)</f>
        <v>0</v>
      </c>
    </row>
    <row r="234" spans="1:18" x14ac:dyDescent="0.2">
      <c r="A234">
        <v>231</v>
      </c>
      <c r="B234" s="1" t="s">
        <v>104</v>
      </c>
      <c r="C234" s="1" t="s">
        <v>107</v>
      </c>
      <c r="D234" s="1" t="s">
        <v>103</v>
      </c>
      <c r="E234" s="1" t="s">
        <v>111</v>
      </c>
      <c r="F234" s="1" t="s">
        <v>113</v>
      </c>
      <c r="G234" s="1" t="s">
        <v>110</v>
      </c>
      <c r="H234" s="1" t="s">
        <v>108</v>
      </c>
      <c r="I234" s="1" t="s">
        <v>109</v>
      </c>
      <c r="J234">
        <f t="shared" si="6"/>
        <v>0</v>
      </c>
      <c r="K234">
        <f>COUNTIFS(Grunnspill!$A:$A,Annex!B234)</f>
        <v>0</v>
      </c>
      <c r="L234">
        <f>COUNTIFS(Grunnspill!$A:$A,Annex!C234)</f>
        <v>0</v>
      </c>
      <c r="M234">
        <f>COUNTIFS(Grunnspill!$A:$A,Annex!D234)</f>
        <v>0</v>
      </c>
      <c r="N234">
        <f>COUNTIFS(Grunnspill!$A:$A,Annex!E234)</f>
        <v>0</v>
      </c>
      <c r="O234">
        <f>COUNTIFS(Grunnspill!$A:$A,Annex!F234)</f>
        <v>0</v>
      </c>
      <c r="P234">
        <f>COUNTIFS(Grunnspill!$A:$A,Annex!G234)</f>
        <v>0</v>
      </c>
      <c r="Q234">
        <f>COUNTIFS(Grunnspill!$A:$A,Annex!H234)</f>
        <v>0</v>
      </c>
      <c r="R234">
        <f>COUNTIFS(Grunnspill!$A:$A,Annex!I234)</f>
        <v>0</v>
      </c>
    </row>
    <row r="235" spans="1:18" x14ac:dyDescent="0.2">
      <c r="A235">
        <v>232</v>
      </c>
      <c r="B235" s="1" t="s">
        <v>106</v>
      </c>
      <c r="C235" s="1" t="s">
        <v>107</v>
      </c>
      <c r="D235" s="1" t="s">
        <v>103</v>
      </c>
      <c r="E235" s="1" t="s">
        <v>111</v>
      </c>
      <c r="F235" s="1" t="s">
        <v>113</v>
      </c>
      <c r="G235" s="1" t="s">
        <v>110</v>
      </c>
      <c r="H235" s="1" t="s">
        <v>108</v>
      </c>
      <c r="I235" s="1" t="s">
        <v>109</v>
      </c>
      <c r="J235">
        <f t="shared" si="6"/>
        <v>0</v>
      </c>
      <c r="K235">
        <f>COUNTIFS(Grunnspill!$A:$A,Annex!B235)</f>
        <v>0</v>
      </c>
      <c r="L235">
        <f>COUNTIFS(Grunnspill!$A:$A,Annex!C235)</f>
        <v>0</v>
      </c>
      <c r="M235">
        <f>COUNTIFS(Grunnspill!$A:$A,Annex!D235)</f>
        <v>0</v>
      </c>
      <c r="N235">
        <f>COUNTIFS(Grunnspill!$A:$A,Annex!E235)</f>
        <v>0</v>
      </c>
      <c r="O235">
        <f>COUNTIFS(Grunnspill!$A:$A,Annex!F235)</f>
        <v>0</v>
      </c>
      <c r="P235">
        <f>COUNTIFS(Grunnspill!$A:$A,Annex!G235)</f>
        <v>0</v>
      </c>
      <c r="Q235">
        <f>COUNTIFS(Grunnspill!$A:$A,Annex!H235)</f>
        <v>0</v>
      </c>
      <c r="R235">
        <f>COUNTIFS(Grunnspill!$A:$A,Annex!I235)</f>
        <v>0</v>
      </c>
    </row>
    <row r="236" spans="1:18" x14ac:dyDescent="0.2">
      <c r="A236">
        <v>233</v>
      </c>
      <c r="B236" s="1" t="s">
        <v>106</v>
      </c>
      <c r="C236" s="1" t="s">
        <v>107</v>
      </c>
      <c r="D236" s="1" t="s">
        <v>104</v>
      </c>
      <c r="E236" s="1" t="s">
        <v>111</v>
      </c>
      <c r="F236" s="1" t="s">
        <v>113</v>
      </c>
      <c r="G236" s="1" t="s">
        <v>110</v>
      </c>
      <c r="H236" s="1" t="s">
        <v>108</v>
      </c>
      <c r="I236" s="1" t="s">
        <v>109</v>
      </c>
      <c r="J236">
        <f t="shared" si="6"/>
        <v>0</v>
      </c>
      <c r="K236">
        <f>COUNTIFS(Grunnspill!$A:$A,Annex!B236)</f>
        <v>0</v>
      </c>
      <c r="L236">
        <f>COUNTIFS(Grunnspill!$A:$A,Annex!C236)</f>
        <v>0</v>
      </c>
      <c r="M236">
        <f>COUNTIFS(Grunnspill!$A:$A,Annex!D236)</f>
        <v>0</v>
      </c>
      <c r="N236">
        <f>COUNTIFS(Grunnspill!$A:$A,Annex!E236)</f>
        <v>0</v>
      </c>
      <c r="O236">
        <f>COUNTIFS(Grunnspill!$A:$A,Annex!F236)</f>
        <v>0</v>
      </c>
      <c r="P236">
        <f>COUNTIFS(Grunnspill!$A:$A,Annex!G236)</f>
        <v>0</v>
      </c>
      <c r="Q236">
        <f>COUNTIFS(Grunnspill!$A:$A,Annex!H236)</f>
        <v>0</v>
      </c>
      <c r="R236">
        <f>COUNTIFS(Grunnspill!$A:$A,Annex!I236)</f>
        <v>0</v>
      </c>
    </row>
    <row r="237" spans="1:18" x14ac:dyDescent="0.2">
      <c r="A237">
        <v>234</v>
      </c>
      <c r="B237" s="1" t="s">
        <v>106</v>
      </c>
      <c r="C237" s="1" t="s">
        <v>107</v>
      </c>
      <c r="D237" s="1" t="s">
        <v>103</v>
      </c>
      <c r="E237" s="1" t="s">
        <v>111</v>
      </c>
      <c r="F237" s="1" t="s">
        <v>113</v>
      </c>
      <c r="G237" s="1" t="s">
        <v>110</v>
      </c>
      <c r="H237" s="1" t="s">
        <v>108</v>
      </c>
      <c r="I237" s="1" t="s">
        <v>104</v>
      </c>
      <c r="J237">
        <f t="shared" si="6"/>
        <v>0</v>
      </c>
      <c r="K237">
        <f>COUNTIFS(Grunnspill!$A:$A,Annex!B237)</f>
        <v>0</v>
      </c>
      <c r="L237">
        <f>COUNTIFS(Grunnspill!$A:$A,Annex!C237)</f>
        <v>0</v>
      </c>
      <c r="M237">
        <f>COUNTIFS(Grunnspill!$A:$A,Annex!D237)</f>
        <v>0</v>
      </c>
      <c r="N237">
        <f>COUNTIFS(Grunnspill!$A:$A,Annex!E237)</f>
        <v>0</v>
      </c>
      <c r="O237">
        <f>COUNTIFS(Grunnspill!$A:$A,Annex!F237)</f>
        <v>0</v>
      </c>
      <c r="P237">
        <f>COUNTIFS(Grunnspill!$A:$A,Annex!G237)</f>
        <v>0</v>
      </c>
      <c r="Q237">
        <f>COUNTIFS(Grunnspill!$A:$A,Annex!H237)</f>
        <v>0</v>
      </c>
      <c r="R237">
        <f>COUNTIFS(Grunnspill!$A:$A,Annex!I237)</f>
        <v>0</v>
      </c>
    </row>
    <row r="238" spans="1:18" x14ac:dyDescent="0.2">
      <c r="A238">
        <v>235</v>
      </c>
      <c r="B238" s="1" t="s">
        <v>106</v>
      </c>
      <c r="C238" s="1" t="s">
        <v>107</v>
      </c>
      <c r="D238" s="1" t="s">
        <v>103</v>
      </c>
      <c r="E238" s="1" t="s">
        <v>111</v>
      </c>
      <c r="F238" s="1" t="s">
        <v>113</v>
      </c>
      <c r="G238" s="1" t="s">
        <v>110</v>
      </c>
      <c r="H238" s="1" t="s">
        <v>104</v>
      </c>
      <c r="I238" s="1" t="s">
        <v>109</v>
      </c>
      <c r="J238">
        <f t="shared" si="6"/>
        <v>0</v>
      </c>
      <c r="K238">
        <f>COUNTIFS(Grunnspill!$A:$A,Annex!B238)</f>
        <v>0</v>
      </c>
      <c r="L238">
        <f>COUNTIFS(Grunnspill!$A:$A,Annex!C238)</f>
        <v>0</v>
      </c>
      <c r="M238">
        <f>COUNTIFS(Grunnspill!$A:$A,Annex!D238)</f>
        <v>0</v>
      </c>
      <c r="N238">
        <f>COUNTIFS(Grunnspill!$A:$A,Annex!E238)</f>
        <v>0</v>
      </c>
      <c r="O238">
        <f>COUNTIFS(Grunnspill!$A:$A,Annex!F238)</f>
        <v>0</v>
      </c>
      <c r="P238">
        <f>COUNTIFS(Grunnspill!$A:$A,Annex!G238)</f>
        <v>0</v>
      </c>
      <c r="Q238">
        <f>COUNTIFS(Grunnspill!$A:$A,Annex!H238)</f>
        <v>0</v>
      </c>
      <c r="R238">
        <f>COUNTIFS(Grunnspill!$A:$A,Annex!I238)</f>
        <v>0</v>
      </c>
    </row>
    <row r="239" spans="1:18" x14ac:dyDescent="0.2">
      <c r="A239">
        <v>236</v>
      </c>
      <c r="B239" s="1" t="s">
        <v>111</v>
      </c>
      <c r="C239" s="1" t="s">
        <v>103</v>
      </c>
      <c r="D239" s="1" t="s">
        <v>104</v>
      </c>
      <c r="E239" s="1" t="s">
        <v>110</v>
      </c>
      <c r="F239" s="1" t="s">
        <v>113</v>
      </c>
      <c r="G239" s="1" t="s">
        <v>105</v>
      </c>
      <c r="H239" s="1" t="s">
        <v>108</v>
      </c>
      <c r="I239" s="1" t="s">
        <v>109</v>
      </c>
      <c r="J239">
        <f t="shared" si="6"/>
        <v>0</v>
      </c>
      <c r="K239">
        <f>COUNTIFS(Grunnspill!$A:$A,Annex!B239)</f>
        <v>0</v>
      </c>
      <c r="L239">
        <f>COUNTIFS(Grunnspill!$A:$A,Annex!C239)</f>
        <v>0</v>
      </c>
      <c r="M239">
        <f>COUNTIFS(Grunnspill!$A:$A,Annex!D239)</f>
        <v>0</v>
      </c>
      <c r="N239">
        <f>COUNTIFS(Grunnspill!$A:$A,Annex!E239)</f>
        <v>0</v>
      </c>
      <c r="O239">
        <f>COUNTIFS(Grunnspill!$A:$A,Annex!F239)</f>
        <v>0</v>
      </c>
      <c r="P239">
        <f>COUNTIFS(Grunnspill!$A:$A,Annex!G239)</f>
        <v>0</v>
      </c>
      <c r="Q239">
        <f>COUNTIFS(Grunnspill!$A:$A,Annex!H239)</f>
        <v>0</v>
      </c>
      <c r="R239">
        <f>COUNTIFS(Grunnspill!$A:$A,Annex!I239)</f>
        <v>0</v>
      </c>
    </row>
    <row r="240" spans="1:18" x14ac:dyDescent="0.2">
      <c r="A240">
        <v>237</v>
      </c>
      <c r="B240" s="1" t="s">
        <v>106</v>
      </c>
      <c r="C240" s="1" t="s">
        <v>103</v>
      </c>
      <c r="D240" s="1" t="s">
        <v>105</v>
      </c>
      <c r="E240" s="1" t="s">
        <v>111</v>
      </c>
      <c r="F240" s="1" t="s">
        <v>113</v>
      </c>
      <c r="G240" s="1" t="s">
        <v>110</v>
      </c>
      <c r="H240" s="1" t="s">
        <v>108</v>
      </c>
      <c r="I240" s="1" t="s">
        <v>109</v>
      </c>
      <c r="J240">
        <f t="shared" si="6"/>
        <v>0</v>
      </c>
      <c r="K240">
        <f>COUNTIFS(Grunnspill!$A:$A,Annex!B240)</f>
        <v>0</v>
      </c>
      <c r="L240">
        <f>COUNTIFS(Grunnspill!$A:$A,Annex!C240)</f>
        <v>0</v>
      </c>
      <c r="M240">
        <f>COUNTIFS(Grunnspill!$A:$A,Annex!D240)</f>
        <v>0</v>
      </c>
      <c r="N240">
        <f>COUNTIFS(Grunnspill!$A:$A,Annex!E240)</f>
        <v>0</v>
      </c>
      <c r="O240">
        <f>COUNTIFS(Grunnspill!$A:$A,Annex!F240)</f>
        <v>0</v>
      </c>
      <c r="P240">
        <f>COUNTIFS(Grunnspill!$A:$A,Annex!G240)</f>
        <v>0</v>
      </c>
      <c r="Q240">
        <f>COUNTIFS(Grunnspill!$A:$A,Annex!H240)</f>
        <v>0</v>
      </c>
      <c r="R240">
        <f>COUNTIFS(Grunnspill!$A:$A,Annex!I240)</f>
        <v>0</v>
      </c>
    </row>
    <row r="241" spans="1:18" x14ac:dyDescent="0.2">
      <c r="A241">
        <v>238</v>
      </c>
      <c r="B241" s="1" t="s">
        <v>106</v>
      </c>
      <c r="C241" s="1" t="s">
        <v>105</v>
      </c>
      <c r="D241" s="1" t="s">
        <v>104</v>
      </c>
      <c r="E241" s="1" t="s">
        <v>111</v>
      </c>
      <c r="F241" s="1" t="s">
        <v>113</v>
      </c>
      <c r="G241" s="1" t="s">
        <v>110</v>
      </c>
      <c r="H241" s="1" t="s">
        <v>108</v>
      </c>
      <c r="I241" s="1" t="s">
        <v>109</v>
      </c>
      <c r="J241">
        <f t="shared" si="6"/>
        <v>0</v>
      </c>
      <c r="K241">
        <f>COUNTIFS(Grunnspill!$A:$A,Annex!B241)</f>
        <v>0</v>
      </c>
      <c r="L241">
        <f>COUNTIFS(Grunnspill!$A:$A,Annex!C241)</f>
        <v>0</v>
      </c>
      <c r="M241">
        <f>COUNTIFS(Grunnspill!$A:$A,Annex!D241)</f>
        <v>0</v>
      </c>
      <c r="N241">
        <f>COUNTIFS(Grunnspill!$A:$A,Annex!E241)</f>
        <v>0</v>
      </c>
      <c r="O241">
        <f>COUNTIFS(Grunnspill!$A:$A,Annex!F241)</f>
        <v>0</v>
      </c>
      <c r="P241">
        <f>COUNTIFS(Grunnspill!$A:$A,Annex!G241)</f>
        <v>0</v>
      </c>
      <c r="Q241">
        <f>COUNTIFS(Grunnspill!$A:$A,Annex!H241)</f>
        <v>0</v>
      </c>
      <c r="R241">
        <f>COUNTIFS(Grunnspill!$A:$A,Annex!I241)</f>
        <v>0</v>
      </c>
    </row>
    <row r="242" spans="1:18" x14ac:dyDescent="0.2">
      <c r="A242">
        <v>239</v>
      </c>
      <c r="B242" s="1" t="s">
        <v>106</v>
      </c>
      <c r="C242" s="1" t="s">
        <v>103</v>
      </c>
      <c r="D242" s="1" t="s">
        <v>105</v>
      </c>
      <c r="E242" s="1" t="s">
        <v>111</v>
      </c>
      <c r="F242" s="1" t="s">
        <v>113</v>
      </c>
      <c r="G242" s="1" t="s">
        <v>110</v>
      </c>
      <c r="H242" s="1" t="s">
        <v>108</v>
      </c>
      <c r="I242" s="1" t="s">
        <v>104</v>
      </c>
      <c r="J242">
        <f t="shared" si="6"/>
        <v>0</v>
      </c>
      <c r="K242">
        <f>COUNTIFS(Grunnspill!$A:$A,Annex!B242)</f>
        <v>0</v>
      </c>
      <c r="L242">
        <f>COUNTIFS(Grunnspill!$A:$A,Annex!C242)</f>
        <v>0</v>
      </c>
      <c r="M242">
        <f>COUNTIFS(Grunnspill!$A:$A,Annex!D242)</f>
        <v>0</v>
      </c>
      <c r="N242">
        <f>COUNTIFS(Grunnspill!$A:$A,Annex!E242)</f>
        <v>0</v>
      </c>
      <c r="O242">
        <f>COUNTIFS(Grunnspill!$A:$A,Annex!F242)</f>
        <v>0</v>
      </c>
      <c r="P242">
        <f>COUNTIFS(Grunnspill!$A:$A,Annex!G242)</f>
        <v>0</v>
      </c>
      <c r="Q242">
        <f>COUNTIFS(Grunnspill!$A:$A,Annex!H242)</f>
        <v>0</v>
      </c>
      <c r="R242">
        <f>COUNTIFS(Grunnspill!$A:$A,Annex!I242)</f>
        <v>0</v>
      </c>
    </row>
    <row r="243" spans="1:18" x14ac:dyDescent="0.2">
      <c r="A243">
        <v>240</v>
      </c>
      <c r="B243" s="1" t="s">
        <v>106</v>
      </c>
      <c r="C243" s="1" t="s">
        <v>103</v>
      </c>
      <c r="D243" s="1" t="s">
        <v>105</v>
      </c>
      <c r="E243" s="1" t="s">
        <v>111</v>
      </c>
      <c r="F243" s="1" t="s">
        <v>113</v>
      </c>
      <c r="G243" s="1" t="s">
        <v>110</v>
      </c>
      <c r="H243" s="1" t="s">
        <v>104</v>
      </c>
      <c r="I243" s="1" t="s">
        <v>109</v>
      </c>
      <c r="J243">
        <f t="shared" si="6"/>
        <v>0</v>
      </c>
      <c r="K243">
        <f>COUNTIFS(Grunnspill!$A:$A,Annex!B243)</f>
        <v>0</v>
      </c>
      <c r="L243">
        <f>COUNTIFS(Grunnspill!$A:$A,Annex!C243)</f>
        <v>0</v>
      </c>
      <c r="M243">
        <f>COUNTIFS(Grunnspill!$A:$A,Annex!D243)</f>
        <v>0</v>
      </c>
      <c r="N243">
        <f>COUNTIFS(Grunnspill!$A:$A,Annex!E243)</f>
        <v>0</v>
      </c>
      <c r="O243">
        <f>COUNTIFS(Grunnspill!$A:$A,Annex!F243)</f>
        <v>0</v>
      </c>
      <c r="P243">
        <f>COUNTIFS(Grunnspill!$A:$A,Annex!G243)</f>
        <v>0</v>
      </c>
      <c r="Q243">
        <f>COUNTIFS(Grunnspill!$A:$A,Annex!H243)</f>
        <v>0</v>
      </c>
      <c r="R243">
        <f>COUNTIFS(Grunnspill!$A:$A,Annex!I243)</f>
        <v>0</v>
      </c>
    </row>
    <row r="244" spans="1:18" x14ac:dyDescent="0.2">
      <c r="A244">
        <v>241</v>
      </c>
      <c r="B244" s="1" t="s">
        <v>111</v>
      </c>
      <c r="C244" s="1" t="s">
        <v>107</v>
      </c>
      <c r="D244" s="1" t="s">
        <v>103</v>
      </c>
      <c r="E244" s="1" t="s">
        <v>110</v>
      </c>
      <c r="F244" s="1" t="s">
        <v>113</v>
      </c>
      <c r="G244" s="1" t="s">
        <v>105</v>
      </c>
      <c r="H244" s="1" t="s">
        <v>108</v>
      </c>
      <c r="I244" s="1" t="s">
        <v>109</v>
      </c>
      <c r="J244">
        <f t="shared" si="6"/>
        <v>0</v>
      </c>
      <c r="K244">
        <f>COUNTIFS(Grunnspill!$A:$A,Annex!B244)</f>
        <v>0</v>
      </c>
      <c r="L244">
        <f>COUNTIFS(Grunnspill!$A:$A,Annex!C244)</f>
        <v>0</v>
      </c>
      <c r="M244">
        <f>COUNTIFS(Grunnspill!$A:$A,Annex!D244)</f>
        <v>0</v>
      </c>
      <c r="N244">
        <f>COUNTIFS(Grunnspill!$A:$A,Annex!E244)</f>
        <v>0</v>
      </c>
      <c r="O244">
        <f>COUNTIFS(Grunnspill!$A:$A,Annex!F244)</f>
        <v>0</v>
      </c>
      <c r="P244">
        <f>COUNTIFS(Grunnspill!$A:$A,Annex!G244)</f>
        <v>0</v>
      </c>
      <c r="Q244">
        <f>COUNTIFS(Grunnspill!$A:$A,Annex!H244)</f>
        <v>0</v>
      </c>
      <c r="R244">
        <f>COUNTIFS(Grunnspill!$A:$A,Annex!I244)</f>
        <v>0</v>
      </c>
    </row>
    <row r="245" spans="1:18" x14ac:dyDescent="0.2">
      <c r="A245">
        <v>242</v>
      </c>
      <c r="B245" s="1" t="s">
        <v>111</v>
      </c>
      <c r="C245" s="1" t="s">
        <v>107</v>
      </c>
      <c r="D245" s="1" t="s">
        <v>104</v>
      </c>
      <c r="E245" s="1" t="s">
        <v>110</v>
      </c>
      <c r="F245" s="1" t="s">
        <v>113</v>
      </c>
      <c r="G245" s="1" t="s">
        <v>105</v>
      </c>
      <c r="H245" s="1" t="s">
        <v>108</v>
      </c>
      <c r="I245" s="1" t="s">
        <v>109</v>
      </c>
      <c r="J245">
        <f t="shared" si="6"/>
        <v>0</v>
      </c>
      <c r="K245">
        <f>COUNTIFS(Grunnspill!$A:$A,Annex!B245)</f>
        <v>0</v>
      </c>
      <c r="L245">
        <f>COUNTIFS(Grunnspill!$A:$A,Annex!C245)</f>
        <v>0</v>
      </c>
      <c r="M245">
        <f>COUNTIFS(Grunnspill!$A:$A,Annex!D245)</f>
        <v>0</v>
      </c>
      <c r="N245">
        <f>COUNTIFS(Grunnspill!$A:$A,Annex!E245)</f>
        <v>0</v>
      </c>
      <c r="O245">
        <f>COUNTIFS(Grunnspill!$A:$A,Annex!F245)</f>
        <v>0</v>
      </c>
      <c r="P245">
        <f>COUNTIFS(Grunnspill!$A:$A,Annex!G245)</f>
        <v>0</v>
      </c>
      <c r="Q245">
        <f>COUNTIFS(Grunnspill!$A:$A,Annex!H245)</f>
        <v>0</v>
      </c>
      <c r="R245">
        <f>COUNTIFS(Grunnspill!$A:$A,Annex!I245)</f>
        <v>0</v>
      </c>
    </row>
    <row r="246" spans="1:18" x14ac:dyDescent="0.2">
      <c r="A246">
        <v>243</v>
      </c>
      <c r="B246" s="1" t="s">
        <v>111</v>
      </c>
      <c r="C246" s="1" t="s">
        <v>107</v>
      </c>
      <c r="D246" s="1" t="s">
        <v>103</v>
      </c>
      <c r="E246" s="1" t="s">
        <v>110</v>
      </c>
      <c r="F246" s="1" t="s">
        <v>113</v>
      </c>
      <c r="G246" s="1" t="s">
        <v>105</v>
      </c>
      <c r="H246" s="1" t="s">
        <v>108</v>
      </c>
      <c r="I246" s="1" t="s">
        <v>104</v>
      </c>
      <c r="J246">
        <f t="shared" si="6"/>
        <v>0</v>
      </c>
      <c r="K246">
        <f>COUNTIFS(Grunnspill!$A:$A,Annex!B246)</f>
        <v>0</v>
      </c>
      <c r="L246">
        <f>COUNTIFS(Grunnspill!$A:$A,Annex!C246)</f>
        <v>0</v>
      </c>
      <c r="M246">
        <f>COUNTIFS(Grunnspill!$A:$A,Annex!D246)</f>
        <v>0</v>
      </c>
      <c r="N246">
        <f>COUNTIFS(Grunnspill!$A:$A,Annex!E246)</f>
        <v>0</v>
      </c>
      <c r="O246">
        <f>COUNTIFS(Grunnspill!$A:$A,Annex!F246)</f>
        <v>0</v>
      </c>
      <c r="P246">
        <f>COUNTIFS(Grunnspill!$A:$A,Annex!G246)</f>
        <v>0</v>
      </c>
      <c r="Q246">
        <f>COUNTIFS(Grunnspill!$A:$A,Annex!H246)</f>
        <v>0</v>
      </c>
      <c r="R246">
        <f>COUNTIFS(Grunnspill!$A:$A,Annex!I246)</f>
        <v>0</v>
      </c>
    </row>
    <row r="247" spans="1:18" x14ac:dyDescent="0.2">
      <c r="A247">
        <v>244</v>
      </c>
      <c r="B247" s="1" t="s">
        <v>111</v>
      </c>
      <c r="C247" s="1" t="s">
        <v>107</v>
      </c>
      <c r="D247" s="1" t="s">
        <v>103</v>
      </c>
      <c r="E247" s="1" t="s">
        <v>110</v>
      </c>
      <c r="F247" s="1" t="s">
        <v>113</v>
      </c>
      <c r="G247" s="1" t="s">
        <v>105</v>
      </c>
      <c r="H247" s="1" t="s">
        <v>104</v>
      </c>
      <c r="I247" s="1" t="s">
        <v>109</v>
      </c>
      <c r="J247">
        <f t="shared" si="6"/>
        <v>0</v>
      </c>
      <c r="K247">
        <f>COUNTIFS(Grunnspill!$A:$A,Annex!B247)</f>
        <v>0</v>
      </c>
      <c r="L247">
        <f>COUNTIFS(Grunnspill!$A:$A,Annex!C247)</f>
        <v>0</v>
      </c>
      <c r="M247">
        <f>COUNTIFS(Grunnspill!$A:$A,Annex!D247)</f>
        <v>0</v>
      </c>
      <c r="N247">
        <f>COUNTIFS(Grunnspill!$A:$A,Annex!E247)</f>
        <v>0</v>
      </c>
      <c r="O247">
        <f>COUNTIFS(Grunnspill!$A:$A,Annex!F247)</f>
        <v>0</v>
      </c>
      <c r="P247">
        <f>COUNTIFS(Grunnspill!$A:$A,Annex!G247)</f>
        <v>0</v>
      </c>
      <c r="Q247">
        <f>COUNTIFS(Grunnspill!$A:$A,Annex!H247)</f>
        <v>0</v>
      </c>
      <c r="R247">
        <f>COUNTIFS(Grunnspill!$A:$A,Annex!I247)</f>
        <v>0</v>
      </c>
    </row>
    <row r="248" spans="1:18" x14ac:dyDescent="0.2">
      <c r="A248">
        <v>245</v>
      </c>
      <c r="B248" s="1" t="s">
        <v>106</v>
      </c>
      <c r="C248" s="1" t="s">
        <v>107</v>
      </c>
      <c r="D248" s="1" t="s">
        <v>105</v>
      </c>
      <c r="E248" s="1" t="s">
        <v>111</v>
      </c>
      <c r="F248" s="1" t="s">
        <v>113</v>
      </c>
      <c r="G248" s="1" t="s">
        <v>110</v>
      </c>
      <c r="H248" s="1" t="s">
        <v>108</v>
      </c>
      <c r="I248" s="1" t="s">
        <v>109</v>
      </c>
      <c r="J248">
        <f t="shared" si="6"/>
        <v>0</v>
      </c>
      <c r="K248">
        <f>COUNTIFS(Grunnspill!$A:$A,Annex!B248)</f>
        <v>0</v>
      </c>
      <c r="L248">
        <f>COUNTIFS(Grunnspill!$A:$A,Annex!C248)</f>
        <v>0</v>
      </c>
      <c r="M248">
        <f>COUNTIFS(Grunnspill!$A:$A,Annex!D248)</f>
        <v>0</v>
      </c>
      <c r="N248">
        <f>COUNTIFS(Grunnspill!$A:$A,Annex!E248)</f>
        <v>0</v>
      </c>
      <c r="O248">
        <f>COUNTIFS(Grunnspill!$A:$A,Annex!F248)</f>
        <v>0</v>
      </c>
      <c r="P248">
        <f>COUNTIFS(Grunnspill!$A:$A,Annex!G248)</f>
        <v>0</v>
      </c>
      <c r="Q248">
        <f>COUNTIFS(Grunnspill!$A:$A,Annex!H248)</f>
        <v>0</v>
      </c>
      <c r="R248">
        <f>COUNTIFS(Grunnspill!$A:$A,Annex!I248)</f>
        <v>0</v>
      </c>
    </row>
    <row r="249" spans="1:18" x14ac:dyDescent="0.2">
      <c r="A249">
        <v>246</v>
      </c>
      <c r="B249" s="1" t="s">
        <v>111</v>
      </c>
      <c r="C249" s="1" t="s">
        <v>107</v>
      </c>
      <c r="D249" s="1" t="s">
        <v>103</v>
      </c>
      <c r="E249" s="1" t="s">
        <v>110</v>
      </c>
      <c r="F249" s="1" t="s">
        <v>113</v>
      </c>
      <c r="G249" s="1" t="s">
        <v>105</v>
      </c>
      <c r="H249" s="1" t="s">
        <v>108</v>
      </c>
      <c r="I249" s="1" t="s">
        <v>106</v>
      </c>
      <c r="J249">
        <f t="shared" si="6"/>
        <v>0</v>
      </c>
      <c r="K249">
        <f>COUNTIFS(Grunnspill!$A:$A,Annex!B249)</f>
        <v>0</v>
      </c>
      <c r="L249">
        <f>COUNTIFS(Grunnspill!$A:$A,Annex!C249)</f>
        <v>0</v>
      </c>
      <c r="M249">
        <f>COUNTIFS(Grunnspill!$A:$A,Annex!D249)</f>
        <v>0</v>
      </c>
      <c r="N249">
        <f>COUNTIFS(Grunnspill!$A:$A,Annex!E249)</f>
        <v>0</v>
      </c>
      <c r="O249">
        <f>COUNTIFS(Grunnspill!$A:$A,Annex!F249)</f>
        <v>0</v>
      </c>
      <c r="P249">
        <f>COUNTIFS(Grunnspill!$A:$A,Annex!G249)</f>
        <v>0</v>
      </c>
      <c r="Q249">
        <f>COUNTIFS(Grunnspill!$A:$A,Annex!H249)</f>
        <v>0</v>
      </c>
      <c r="R249">
        <f>COUNTIFS(Grunnspill!$A:$A,Annex!I249)</f>
        <v>0</v>
      </c>
    </row>
    <row r="250" spans="1:18" x14ac:dyDescent="0.2">
      <c r="A250">
        <v>247</v>
      </c>
      <c r="B250" s="1" t="s">
        <v>106</v>
      </c>
      <c r="C250" s="1" t="s">
        <v>107</v>
      </c>
      <c r="D250" s="1" t="s">
        <v>103</v>
      </c>
      <c r="E250" s="1" t="s">
        <v>111</v>
      </c>
      <c r="F250" s="1" t="s">
        <v>113</v>
      </c>
      <c r="G250" s="1" t="s">
        <v>105</v>
      </c>
      <c r="H250" s="1" t="s">
        <v>110</v>
      </c>
      <c r="I250" s="1" t="s">
        <v>109</v>
      </c>
      <c r="J250">
        <f t="shared" si="6"/>
        <v>0</v>
      </c>
      <c r="K250">
        <f>COUNTIFS(Grunnspill!$A:$A,Annex!B250)</f>
        <v>0</v>
      </c>
      <c r="L250">
        <f>COUNTIFS(Grunnspill!$A:$A,Annex!C250)</f>
        <v>0</v>
      </c>
      <c r="M250">
        <f>COUNTIFS(Grunnspill!$A:$A,Annex!D250)</f>
        <v>0</v>
      </c>
      <c r="N250">
        <f>COUNTIFS(Grunnspill!$A:$A,Annex!E250)</f>
        <v>0</v>
      </c>
      <c r="O250">
        <f>COUNTIFS(Grunnspill!$A:$A,Annex!F250)</f>
        <v>0</v>
      </c>
      <c r="P250">
        <f>COUNTIFS(Grunnspill!$A:$A,Annex!G250)</f>
        <v>0</v>
      </c>
      <c r="Q250">
        <f>COUNTIFS(Grunnspill!$A:$A,Annex!H250)</f>
        <v>0</v>
      </c>
      <c r="R250">
        <f>COUNTIFS(Grunnspill!$A:$A,Annex!I250)</f>
        <v>0</v>
      </c>
    </row>
    <row r="251" spans="1:18" x14ac:dyDescent="0.2">
      <c r="A251">
        <v>248</v>
      </c>
      <c r="B251" s="1" t="s">
        <v>106</v>
      </c>
      <c r="C251" s="1" t="s">
        <v>107</v>
      </c>
      <c r="D251" s="1" t="s">
        <v>105</v>
      </c>
      <c r="E251" s="1" t="s">
        <v>111</v>
      </c>
      <c r="F251" s="1" t="s">
        <v>113</v>
      </c>
      <c r="G251" s="1" t="s">
        <v>110</v>
      </c>
      <c r="H251" s="1" t="s">
        <v>108</v>
      </c>
      <c r="I251" s="1" t="s">
        <v>104</v>
      </c>
      <c r="J251">
        <f t="shared" si="6"/>
        <v>0</v>
      </c>
      <c r="K251">
        <f>COUNTIFS(Grunnspill!$A:$A,Annex!B251)</f>
        <v>0</v>
      </c>
      <c r="L251">
        <f>COUNTIFS(Grunnspill!$A:$A,Annex!C251)</f>
        <v>0</v>
      </c>
      <c r="M251">
        <f>COUNTIFS(Grunnspill!$A:$A,Annex!D251)</f>
        <v>0</v>
      </c>
      <c r="N251">
        <f>COUNTIFS(Grunnspill!$A:$A,Annex!E251)</f>
        <v>0</v>
      </c>
      <c r="O251">
        <f>COUNTIFS(Grunnspill!$A:$A,Annex!F251)</f>
        <v>0</v>
      </c>
      <c r="P251">
        <f>COUNTIFS(Grunnspill!$A:$A,Annex!G251)</f>
        <v>0</v>
      </c>
      <c r="Q251">
        <f>COUNTIFS(Grunnspill!$A:$A,Annex!H251)</f>
        <v>0</v>
      </c>
      <c r="R251">
        <f>COUNTIFS(Grunnspill!$A:$A,Annex!I251)</f>
        <v>0</v>
      </c>
    </row>
    <row r="252" spans="1:18" x14ac:dyDescent="0.2">
      <c r="A252">
        <v>249</v>
      </c>
      <c r="B252" s="1" t="s">
        <v>106</v>
      </c>
      <c r="C252" s="1" t="s">
        <v>107</v>
      </c>
      <c r="D252" s="1" t="s">
        <v>105</v>
      </c>
      <c r="E252" s="1" t="s">
        <v>111</v>
      </c>
      <c r="F252" s="1" t="s">
        <v>113</v>
      </c>
      <c r="G252" s="1" t="s">
        <v>110</v>
      </c>
      <c r="H252" s="1" t="s">
        <v>104</v>
      </c>
      <c r="I252" s="1" t="s">
        <v>109</v>
      </c>
      <c r="J252">
        <f t="shared" si="6"/>
        <v>0</v>
      </c>
      <c r="K252">
        <f>COUNTIFS(Grunnspill!$A:$A,Annex!B252)</f>
        <v>0</v>
      </c>
      <c r="L252">
        <f>COUNTIFS(Grunnspill!$A:$A,Annex!C252)</f>
        <v>0</v>
      </c>
      <c r="M252">
        <f>COUNTIFS(Grunnspill!$A:$A,Annex!D252)</f>
        <v>0</v>
      </c>
      <c r="N252">
        <f>COUNTIFS(Grunnspill!$A:$A,Annex!E252)</f>
        <v>0</v>
      </c>
      <c r="O252">
        <f>COUNTIFS(Grunnspill!$A:$A,Annex!F252)</f>
        <v>0</v>
      </c>
      <c r="P252">
        <f>COUNTIFS(Grunnspill!$A:$A,Annex!G252)</f>
        <v>0</v>
      </c>
      <c r="Q252">
        <f>COUNTIFS(Grunnspill!$A:$A,Annex!H252)</f>
        <v>0</v>
      </c>
      <c r="R252">
        <f>COUNTIFS(Grunnspill!$A:$A,Annex!I252)</f>
        <v>0</v>
      </c>
    </row>
    <row r="253" spans="1:18" x14ac:dyDescent="0.2">
      <c r="A253">
        <v>250</v>
      </c>
      <c r="B253" s="1" t="s">
        <v>106</v>
      </c>
      <c r="C253" s="1" t="s">
        <v>107</v>
      </c>
      <c r="D253" s="1" t="s">
        <v>103</v>
      </c>
      <c r="E253" s="1" t="s">
        <v>111</v>
      </c>
      <c r="F253" s="1" t="s">
        <v>113</v>
      </c>
      <c r="G253" s="1" t="s">
        <v>105</v>
      </c>
      <c r="H253" s="1" t="s">
        <v>110</v>
      </c>
      <c r="I253" s="1" t="s">
        <v>104</v>
      </c>
      <c r="J253">
        <f t="shared" si="6"/>
        <v>0</v>
      </c>
      <c r="K253">
        <f>COUNTIFS(Grunnspill!$A:$A,Annex!B253)</f>
        <v>0</v>
      </c>
      <c r="L253">
        <f>COUNTIFS(Grunnspill!$A:$A,Annex!C253)</f>
        <v>0</v>
      </c>
      <c r="M253">
        <f>COUNTIFS(Grunnspill!$A:$A,Annex!D253)</f>
        <v>0</v>
      </c>
      <c r="N253">
        <f>COUNTIFS(Grunnspill!$A:$A,Annex!E253)</f>
        <v>0</v>
      </c>
      <c r="O253">
        <f>COUNTIFS(Grunnspill!$A:$A,Annex!F253)</f>
        <v>0</v>
      </c>
      <c r="P253">
        <f>COUNTIFS(Grunnspill!$A:$A,Annex!G253)</f>
        <v>0</v>
      </c>
      <c r="Q253">
        <f>COUNTIFS(Grunnspill!$A:$A,Annex!H253)</f>
        <v>0</v>
      </c>
      <c r="R253">
        <f>COUNTIFS(Grunnspill!$A:$A,Annex!I253)</f>
        <v>0</v>
      </c>
    </row>
    <row r="254" spans="1:18" x14ac:dyDescent="0.2">
      <c r="A254">
        <v>251</v>
      </c>
      <c r="B254" s="1" t="s">
        <v>102</v>
      </c>
      <c r="C254" s="1" t="s">
        <v>103</v>
      </c>
      <c r="D254" s="1" t="s">
        <v>104</v>
      </c>
      <c r="E254" s="1" t="s">
        <v>111</v>
      </c>
      <c r="F254" s="1" t="s">
        <v>113</v>
      </c>
      <c r="G254" s="1" t="s">
        <v>110</v>
      </c>
      <c r="H254" s="1" t="s">
        <v>108</v>
      </c>
      <c r="I254" s="1" t="s">
        <v>109</v>
      </c>
      <c r="J254">
        <f t="shared" si="6"/>
        <v>0</v>
      </c>
      <c r="K254">
        <f>COUNTIFS(Grunnspill!$A:$A,Annex!B254)</f>
        <v>0</v>
      </c>
      <c r="L254">
        <f>COUNTIFS(Grunnspill!$A:$A,Annex!C254)</f>
        <v>0</v>
      </c>
      <c r="M254">
        <f>COUNTIFS(Grunnspill!$A:$A,Annex!D254)</f>
        <v>0</v>
      </c>
      <c r="N254">
        <f>COUNTIFS(Grunnspill!$A:$A,Annex!E254)</f>
        <v>0</v>
      </c>
      <c r="O254">
        <f>COUNTIFS(Grunnspill!$A:$A,Annex!F254)</f>
        <v>0</v>
      </c>
      <c r="P254">
        <f>COUNTIFS(Grunnspill!$A:$A,Annex!G254)</f>
        <v>0</v>
      </c>
      <c r="Q254">
        <f>COUNTIFS(Grunnspill!$A:$A,Annex!H254)</f>
        <v>0</v>
      </c>
      <c r="R254">
        <f>COUNTIFS(Grunnspill!$A:$A,Annex!I254)</f>
        <v>0</v>
      </c>
    </row>
    <row r="255" spans="1:18" x14ac:dyDescent="0.2">
      <c r="A255">
        <v>252</v>
      </c>
      <c r="B255" s="1" t="s">
        <v>106</v>
      </c>
      <c r="C255" s="1" t="s">
        <v>103</v>
      </c>
      <c r="D255" s="1" t="s">
        <v>102</v>
      </c>
      <c r="E255" s="1" t="s">
        <v>111</v>
      </c>
      <c r="F255" s="1" t="s">
        <v>113</v>
      </c>
      <c r="G255" s="1" t="s">
        <v>110</v>
      </c>
      <c r="H255" s="1" t="s">
        <v>108</v>
      </c>
      <c r="I255" s="1" t="s">
        <v>109</v>
      </c>
      <c r="J255">
        <f t="shared" si="6"/>
        <v>0</v>
      </c>
      <c r="K255">
        <f>COUNTIFS(Grunnspill!$A:$A,Annex!B255)</f>
        <v>0</v>
      </c>
      <c r="L255">
        <f>COUNTIFS(Grunnspill!$A:$A,Annex!C255)</f>
        <v>0</v>
      </c>
      <c r="M255">
        <f>COUNTIFS(Grunnspill!$A:$A,Annex!D255)</f>
        <v>0</v>
      </c>
      <c r="N255">
        <f>COUNTIFS(Grunnspill!$A:$A,Annex!E255)</f>
        <v>0</v>
      </c>
      <c r="O255">
        <f>COUNTIFS(Grunnspill!$A:$A,Annex!F255)</f>
        <v>0</v>
      </c>
      <c r="P255">
        <f>COUNTIFS(Grunnspill!$A:$A,Annex!G255)</f>
        <v>0</v>
      </c>
      <c r="Q255">
        <f>COUNTIFS(Grunnspill!$A:$A,Annex!H255)</f>
        <v>0</v>
      </c>
      <c r="R255">
        <f>COUNTIFS(Grunnspill!$A:$A,Annex!I255)</f>
        <v>0</v>
      </c>
    </row>
    <row r="256" spans="1:18" x14ac:dyDescent="0.2">
      <c r="A256">
        <v>253</v>
      </c>
      <c r="B256" s="1" t="s">
        <v>106</v>
      </c>
      <c r="C256" s="1" t="s">
        <v>102</v>
      </c>
      <c r="D256" s="1" t="s">
        <v>104</v>
      </c>
      <c r="E256" s="1" t="s">
        <v>111</v>
      </c>
      <c r="F256" s="1" t="s">
        <v>113</v>
      </c>
      <c r="G256" s="1" t="s">
        <v>110</v>
      </c>
      <c r="H256" s="1" t="s">
        <v>108</v>
      </c>
      <c r="I256" s="1" t="s">
        <v>109</v>
      </c>
      <c r="J256">
        <f t="shared" si="6"/>
        <v>0</v>
      </c>
      <c r="K256">
        <f>COUNTIFS(Grunnspill!$A:$A,Annex!B256)</f>
        <v>0</v>
      </c>
      <c r="L256">
        <f>COUNTIFS(Grunnspill!$A:$A,Annex!C256)</f>
        <v>0</v>
      </c>
      <c r="M256">
        <f>COUNTIFS(Grunnspill!$A:$A,Annex!D256)</f>
        <v>0</v>
      </c>
      <c r="N256">
        <f>COUNTIFS(Grunnspill!$A:$A,Annex!E256)</f>
        <v>0</v>
      </c>
      <c r="O256">
        <f>COUNTIFS(Grunnspill!$A:$A,Annex!F256)</f>
        <v>0</v>
      </c>
      <c r="P256">
        <f>COUNTIFS(Grunnspill!$A:$A,Annex!G256)</f>
        <v>0</v>
      </c>
      <c r="Q256">
        <f>COUNTIFS(Grunnspill!$A:$A,Annex!H256)</f>
        <v>0</v>
      </c>
      <c r="R256">
        <f>COUNTIFS(Grunnspill!$A:$A,Annex!I256)</f>
        <v>0</v>
      </c>
    </row>
    <row r="257" spans="1:18" x14ac:dyDescent="0.2">
      <c r="A257">
        <v>254</v>
      </c>
      <c r="B257" s="1" t="s">
        <v>106</v>
      </c>
      <c r="C257" s="1" t="s">
        <v>103</v>
      </c>
      <c r="D257" s="1" t="s">
        <v>102</v>
      </c>
      <c r="E257" s="1" t="s">
        <v>111</v>
      </c>
      <c r="F257" s="1" t="s">
        <v>113</v>
      </c>
      <c r="G257" s="1" t="s">
        <v>110</v>
      </c>
      <c r="H257" s="1" t="s">
        <v>108</v>
      </c>
      <c r="I257" s="1" t="s">
        <v>104</v>
      </c>
      <c r="J257">
        <f t="shared" si="6"/>
        <v>0</v>
      </c>
      <c r="K257">
        <f>COUNTIFS(Grunnspill!$A:$A,Annex!B257)</f>
        <v>0</v>
      </c>
      <c r="L257">
        <f>COUNTIFS(Grunnspill!$A:$A,Annex!C257)</f>
        <v>0</v>
      </c>
      <c r="M257">
        <f>COUNTIFS(Grunnspill!$A:$A,Annex!D257)</f>
        <v>0</v>
      </c>
      <c r="N257">
        <f>COUNTIFS(Grunnspill!$A:$A,Annex!E257)</f>
        <v>0</v>
      </c>
      <c r="O257">
        <f>COUNTIFS(Grunnspill!$A:$A,Annex!F257)</f>
        <v>0</v>
      </c>
      <c r="P257">
        <f>COUNTIFS(Grunnspill!$A:$A,Annex!G257)</f>
        <v>0</v>
      </c>
      <c r="Q257">
        <f>COUNTIFS(Grunnspill!$A:$A,Annex!H257)</f>
        <v>0</v>
      </c>
      <c r="R257">
        <f>COUNTIFS(Grunnspill!$A:$A,Annex!I257)</f>
        <v>0</v>
      </c>
    </row>
    <row r="258" spans="1:18" x14ac:dyDescent="0.2">
      <c r="A258">
        <v>255</v>
      </c>
      <c r="B258" s="1" t="s">
        <v>106</v>
      </c>
      <c r="C258" s="1" t="s">
        <v>103</v>
      </c>
      <c r="D258" s="1" t="s">
        <v>102</v>
      </c>
      <c r="E258" s="1" t="s">
        <v>111</v>
      </c>
      <c r="F258" s="1" t="s">
        <v>113</v>
      </c>
      <c r="G258" s="1" t="s">
        <v>110</v>
      </c>
      <c r="H258" s="1" t="s">
        <v>104</v>
      </c>
      <c r="I258" s="1" t="s">
        <v>109</v>
      </c>
      <c r="J258">
        <f t="shared" si="6"/>
        <v>0</v>
      </c>
      <c r="K258">
        <f>COUNTIFS(Grunnspill!$A:$A,Annex!B258)</f>
        <v>0</v>
      </c>
      <c r="L258">
        <f>COUNTIFS(Grunnspill!$A:$A,Annex!C258)</f>
        <v>0</v>
      </c>
      <c r="M258">
        <f>COUNTIFS(Grunnspill!$A:$A,Annex!D258)</f>
        <v>0</v>
      </c>
      <c r="N258">
        <f>COUNTIFS(Grunnspill!$A:$A,Annex!E258)</f>
        <v>0</v>
      </c>
      <c r="O258">
        <f>COUNTIFS(Grunnspill!$A:$A,Annex!F258)</f>
        <v>0</v>
      </c>
      <c r="P258">
        <f>COUNTIFS(Grunnspill!$A:$A,Annex!G258)</f>
        <v>0</v>
      </c>
      <c r="Q258">
        <f>COUNTIFS(Grunnspill!$A:$A,Annex!H258)</f>
        <v>0</v>
      </c>
      <c r="R258">
        <f>COUNTIFS(Grunnspill!$A:$A,Annex!I258)</f>
        <v>0</v>
      </c>
    </row>
    <row r="259" spans="1:18" x14ac:dyDescent="0.2">
      <c r="A259">
        <v>256</v>
      </c>
      <c r="B259" s="1" t="s">
        <v>102</v>
      </c>
      <c r="C259" s="1" t="s">
        <v>107</v>
      </c>
      <c r="D259" s="1" t="s">
        <v>103</v>
      </c>
      <c r="E259" s="1" t="s">
        <v>111</v>
      </c>
      <c r="F259" s="1" t="s">
        <v>113</v>
      </c>
      <c r="G259" s="1" t="s">
        <v>110</v>
      </c>
      <c r="H259" s="1" t="s">
        <v>108</v>
      </c>
      <c r="I259" s="1" t="s">
        <v>109</v>
      </c>
      <c r="J259">
        <f t="shared" si="6"/>
        <v>0</v>
      </c>
      <c r="K259">
        <f>COUNTIFS(Grunnspill!$A:$A,Annex!B259)</f>
        <v>0</v>
      </c>
      <c r="L259">
        <f>COUNTIFS(Grunnspill!$A:$A,Annex!C259)</f>
        <v>0</v>
      </c>
      <c r="M259">
        <f>COUNTIFS(Grunnspill!$A:$A,Annex!D259)</f>
        <v>0</v>
      </c>
      <c r="N259">
        <f>COUNTIFS(Grunnspill!$A:$A,Annex!E259)</f>
        <v>0</v>
      </c>
      <c r="O259">
        <f>COUNTIFS(Grunnspill!$A:$A,Annex!F259)</f>
        <v>0</v>
      </c>
      <c r="P259">
        <f>COUNTIFS(Grunnspill!$A:$A,Annex!G259)</f>
        <v>0</v>
      </c>
      <c r="Q259">
        <f>COUNTIFS(Grunnspill!$A:$A,Annex!H259)</f>
        <v>0</v>
      </c>
      <c r="R259">
        <f>COUNTIFS(Grunnspill!$A:$A,Annex!I259)</f>
        <v>0</v>
      </c>
    </row>
    <row r="260" spans="1:18" x14ac:dyDescent="0.2">
      <c r="A260">
        <v>257</v>
      </c>
      <c r="B260" s="1" t="s">
        <v>102</v>
      </c>
      <c r="C260" s="1" t="s">
        <v>107</v>
      </c>
      <c r="D260" s="1" t="s">
        <v>104</v>
      </c>
      <c r="E260" s="1" t="s">
        <v>111</v>
      </c>
      <c r="F260" s="1" t="s">
        <v>113</v>
      </c>
      <c r="G260" s="1" t="s">
        <v>110</v>
      </c>
      <c r="H260" s="1" t="s">
        <v>108</v>
      </c>
      <c r="I260" s="1" t="s">
        <v>109</v>
      </c>
      <c r="J260">
        <f t="shared" si="6"/>
        <v>0</v>
      </c>
      <c r="K260">
        <f>COUNTIFS(Grunnspill!$A:$A,Annex!B260)</f>
        <v>0</v>
      </c>
      <c r="L260">
        <f>COUNTIFS(Grunnspill!$A:$A,Annex!C260)</f>
        <v>0</v>
      </c>
      <c r="M260">
        <f>COUNTIFS(Grunnspill!$A:$A,Annex!D260)</f>
        <v>0</v>
      </c>
      <c r="N260">
        <f>COUNTIFS(Grunnspill!$A:$A,Annex!E260)</f>
        <v>0</v>
      </c>
      <c r="O260">
        <f>COUNTIFS(Grunnspill!$A:$A,Annex!F260)</f>
        <v>0</v>
      </c>
      <c r="P260">
        <f>COUNTIFS(Grunnspill!$A:$A,Annex!G260)</f>
        <v>0</v>
      </c>
      <c r="Q260">
        <f>COUNTIFS(Grunnspill!$A:$A,Annex!H260)</f>
        <v>0</v>
      </c>
      <c r="R260">
        <f>COUNTIFS(Grunnspill!$A:$A,Annex!I260)</f>
        <v>0</v>
      </c>
    </row>
    <row r="261" spans="1:18" x14ac:dyDescent="0.2">
      <c r="A261">
        <v>258</v>
      </c>
      <c r="B261" s="1" t="s">
        <v>102</v>
      </c>
      <c r="C261" s="1" t="s">
        <v>107</v>
      </c>
      <c r="D261" s="1" t="s">
        <v>103</v>
      </c>
      <c r="E261" s="1" t="s">
        <v>111</v>
      </c>
      <c r="F261" s="1" t="s">
        <v>113</v>
      </c>
      <c r="G261" s="1" t="s">
        <v>110</v>
      </c>
      <c r="H261" s="1" t="s">
        <v>108</v>
      </c>
      <c r="I261" s="1" t="s">
        <v>104</v>
      </c>
      <c r="J261">
        <f t="shared" si="6"/>
        <v>0</v>
      </c>
      <c r="K261">
        <f>COUNTIFS(Grunnspill!$A:$A,Annex!B261)</f>
        <v>0</v>
      </c>
      <c r="L261">
        <f>COUNTIFS(Grunnspill!$A:$A,Annex!C261)</f>
        <v>0</v>
      </c>
      <c r="M261">
        <f>COUNTIFS(Grunnspill!$A:$A,Annex!D261)</f>
        <v>0</v>
      </c>
      <c r="N261">
        <f>COUNTIFS(Grunnspill!$A:$A,Annex!E261)</f>
        <v>0</v>
      </c>
      <c r="O261">
        <f>COUNTIFS(Grunnspill!$A:$A,Annex!F261)</f>
        <v>0</v>
      </c>
      <c r="P261">
        <f>COUNTIFS(Grunnspill!$A:$A,Annex!G261)</f>
        <v>0</v>
      </c>
      <c r="Q261">
        <f>COUNTIFS(Grunnspill!$A:$A,Annex!H261)</f>
        <v>0</v>
      </c>
      <c r="R261">
        <f>COUNTIFS(Grunnspill!$A:$A,Annex!I261)</f>
        <v>0</v>
      </c>
    </row>
    <row r="262" spans="1:18" x14ac:dyDescent="0.2">
      <c r="A262">
        <v>259</v>
      </c>
      <c r="B262" s="1" t="s">
        <v>102</v>
      </c>
      <c r="C262" s="1" t="s">
        <v>107</v>
      </c>
      <c r="D262" s="1" t="s">
        <v>103</v>
      </c>
      <c r="E262" s="1" t="s">
        <v>111</v>
      </c>
      <c r="F262" s="1" t="s">
        <v>113</v>
      </c>
      <c r="G262" s="1" t="s">
        <v>110</v>
      </c>
      <c r="H262" s="1" t="s">
        <v>104</v>
      </c>
      <c r="I262" s="1" t="s">
        <v>109</v>
      </c>
      <c r="J262">
        <f t="shared" si="6"/>
        <v>0</v>
      </c>
      <c r="K262">
        <f>COUNTIFS(Grunnspill!$A:$A,Annex!B262)</f>
        <v>0</v>
      </c>
      <c r="L262">
        <f>COUNTIFS(Grunnspill!$A:$A,Annex!C262)</f>
        <v>0</v>
      </c>
      <c r="M262">
        <f>COUNTIFS(Grunnspill!$A:$A,Annex!D262)</f>
        <v>0</v>
      </c>
      <c r="N262">
        <f>COUNTIFS(Grunnspill!$A:$A,Annex!E262)</f>
        <v>0</v>
      </c>
      <c r="O262">
        <f>COUNTIFS(Grunnspill!$A:$A,Annex!F262)</f>
        <v>0</v>
      </c>
      <c r="P262">
        <f>COUNTIFS(Grunnspill!$A:$A,Annex!G262)</f>
        <v>0</v>
      </c>
      <c r="Q262">
        <f>COUNTIFS(Grunnspill!$A:$A,Annex!H262)</f>
        <v>0</v>
      </c>
      <c r="R262">
        <f>COUNTIFS(Grunnspill!$A:$A,Annex!I262)</f>
        <v>0</v>
      </c>
    </row>
    <row r="263" spans="1:18" x14ac:dyDescent="0.2">
      <c r="A263">
        <v>260</v>
      </c>
      <c r="B263" s="1" t="s">
        <v>106</v>
      </c>
      <c r="C263" s="1" t="s">
        <v>107</v>
      </c>
      <c r="D263" s="1" t="s">
        <v>102</v>
      </c>
      <c r="E263" s="1" t="s">
        <v>111</v>
      </c>
      <c r="F263" s="1" t="s">
        <v>113</v>
      </c>
      <c r="G263" s="1" t="s">
        <v>110</v>
      </c>
      <c r="H263" s="1" t="s">
        <v>108</v>
      </c>
      <c r="I263" s="1" t="s">
        <v>109</v>
      </c>
      <c r="J263">
        <f t="shared" si="6"/>
        <v>0</v>
      </c>
      <c r="K263">
        <f>COUNTIFS(Grunnspill!$A:$A,Annex!B263)</f>
        <v>0</v>
      </c>
      <c r="L263">
        <f>COUNTIFS(Grunnspill!$A:$A,Annex!C263)</f>
        <v>0</v>
      </c>
      <c r="M263">
        <f>COUNTIFS(Grunnspill!$A:$A,Annex!D263)</f>
        <v>0</v>
      </c>
      <c r="N263">
        <f>COUNTIFS(Grunnspill!$A:$A,Annex!E263)</f>
        <v>0</v>
      </c>
      <c r="O263">
        <f>COUNTIFS(Grunnspill!$A:$A,Annex!F263)</f>
        <v>0</v>
      </c>
      <c r="P263">
        <f>COUNTIFS(Grunnspill!$A:$A,Annex!G263)</f>
        <v>0</v>
      </c>
      <c r="Q263">
        <f>COUNTIFS(Grunnspill!$A:$A,Annex!H263)</f>
        <v>0</v>
      </c>
      <c r="R263">
        <f>COUNTIFS(Grunnspill!$A:$A,Annex!I263)</f>
        <v>0</v>
      </c>
    </row>
    <row r="264" spans="1:18" x14ac:dyDescent="0.2">
      <c r="A264">
        <v>261</v>
      </c>
      <c r="B264" s="1" t="s">
        <v>106</v>
      </c>
      <c r="C264" s="1" t="s">
        <v>107</v>
      </c>
      <c r="D264" s="1" t="s">
        <v>103</v>
      </c>
      <c r="E264" s="1" t="s">
        <v>111</v>
      </c>
      <c r="F264" s="1" t="s">
        <v>113</v>
      </c>
      <c r="G264" s="1" t="s">
        <v>110</v>
      </c>
      <c r="H264" s="1" t="s">
        <v>108</v>
      </c>
      <c r="I264" s="1" t="s">
        <v>102</v>
      </c>
      <c r="J264">
        <f t="shared" si="6"/>
        <v>0</v>
      </c>
      <c r="K264">
        <f>COUNTIFS(Grunnspill!$A:$A,Annex!B264)</f>
        <v>0</v>
      </c>
      <c r="L264">
        <f>COUNTIFS(Grunnspill!$A:$A,Annex!C264)</f>
        <v>0</v>
      </c>
      <c r="M264">
        <f>COUNTIFS(Grunnspill!$A:$A,Annex!D264)</f>
        <v>0</v>
      </c>
      <c r="N264">
        <f>COUNTIFS(Grunnspill!$A:$A,Annex!E264)</f>
        <v>0</v>
      </c>
      <c r="O264">
        <f>COUNTIFS(Grunnspill!$A:$A,Annex!F264)</f>
        <v>0</v>
      </c>
      <c r="P264">
        <f>COUNTIFS(Grunnspill!$A:$A,Annex!G264)</f>
        <v>0</v>
      </c>
      <c r="Q264">
        <f>COUNTIFS(Grunnspill!$A:$A,Annex!H264)</f>
        <v>0</v>
      </c>
      <c r="R264">
        <f>COUNTIFS(Grunnspill!$A:$A,Annex!I264)</f>
        <v>0</v>
      </c>
    </row>
    <row r="265" spans="1:18" x14ac:dyDescent="0.2">
      <c r="A265">
        <v>262</v>
      </c>
      <c r="B265" s="1" t="s">
        <v>106</v>
      </c>
      <c r="C265" s="1" t="s">
        <v>107</v>
      </c>
      <c r="D265" s="1" t="s">
        <v>103</v>
      </c>
      <c r="E265" s="1" t="s">
        <v>111</v>
      </c>
      <c r="F265" s="1" t="s">
        <v>113</v>
      </c>
      <c r="G265" s="1" t="s">
        <v>110</v>
      </c>
      <c r="H265" s="1" t="s">
        <v>102</v>
      </c>
      <c r="I265" s="1" t="s">
        <v>109</v>
      </c>
      <c r="J265">
        <f t="shared" si="6"/>
        <v>0</v>
      </c>
      <c r="K265">
        <f>COUNTIFS(Grunnspill!$A:$A,Annex!B265)</f>
        <v>0</v>
      </c>
      <c r="L265">
        <f>COUNTIFS(Grunnspill!$A:$A,Annex!C265)</f>
        <v>0</v>
      </c>
      <c r="M265">
        <f>COUNTIFS(Grunnspill!$A:$A,Annex!D265)</f>
        <v>0</v>
      </c>
      <c r="N265">
        <f>COUNTIFS(Grunnspill!$A:$A,Annex!E265)</f>
        <v>0</v>
      </c>
      <c r="O265">
        <f>COUNTIFS(Grunnspill!$A:$A,Annex!F265)</f>
        <v>0</v>
      </c>
      <c r="P265">
        <f>COUNTIFS(Grunnspill!$A:$A,Annex!G265)</f>
        <v>0</v>
      </c>
      <c r="Q265">
        <f>COUNTIFS(Grunnspill!$A:$A,Annex!H265)</f>
        <v>0</v>
      </c>
      <c r="R265">
        <f>COUNTIFS(Grunnspill!$A:$A,Annex!I265)</f>
        <v>0</v>
      </c>
    </row>
    <row r="266" spans="1:18" x14ac:dyDescent="0.2">
      <c r="A266">
        <v>263</v>
      </c>
      <c r="B266" s="1" t="s">
        <v>106</v>
      </c>
      <c r="C266" s="1" t="s">
        <v>107</v>
      </c>
      <c r="D266" s="1" t="s">
        <v>102</v>
      </c>
      <c r="E266" s="1" t="s">
        <v>111</v>
      </c>
      <c r="F266" s="1" t="s">
        <v>113</v>
      </c>
      <c r="G266" s="1" t="s">
        <v>110</v>
      </c>
      <c r="H266" s="1" t="s">
        <v>108</v>
      </c>
      <c r="I266" s="1" t="s">
        <v>104</v>
      </c>
      <c r="J266">
        <f t="shared" si="6"/>
        <v>0</v>
      </c>
      <c r="K266">
        <f>COUNTIFS(Grunnspill!$A:$A,Annex!B266)</f>
        <v>0</v>
      </c>
      <c r="L266">
        <f>COUNTIFS(Grunnspill!$A:$A,Annex!C266)</f>
        <v>0</v>
      </c>
      <c r="M266">
        <f>COUNTIFS(Grunnspill!$A:$A,Annex!D266)</f>
        <v>0</v>
      </c>
      <c r="N266">
        <f>COUNTIFS(Grunnspill!$A:$A,Annex!E266)</f>
        <v>0</v>
      </c>
      <c r="O266">
        <f>COUNTIFS(Grunnspill!$A:$A,Annex!F266)</f>
        <v>0</v>
      </c>
      <c r="P266">
        <f>COUNTIFS(Grunnspill!$A:$A,Annex!G266)</f>
        <v>0</v>
      </c>
      <c r="Q266">
        <f>COUNTIFS(Grunnspill!$A:$A,Annex!H266)</f>
        <v>0</v>
      </c>
      <c r="R266">
        <f>COUNTIFS(Grunnspill!$A:$A,Annex!I266)</f>
        <v>0</v>
      </c>
    </row>
    <row r="267" spans="1:18" x14ac:dyDescent="0.2">
      <c r="A267">
        <v>264</v>
      </c>
      <c r="B267" s="1" t="s">
        <v>106</v>
      </c>
      <c r="C267" s="1" t="s">
        <v>107</v>
      </c>
      <c r="D267" s="1" t="s">
        <v>102</v>
      </c>
      <c r="E267" s="1" t="s">
        <v>111</v>
      </c>
      <c r="F267" s="1" t="s">
        <v>113</v>
      </c>
      <c r="G267" s="1" t="s">
        <v>110</v>
      </c>
      <c r="H267" s="1" t="s">
        <v>104</v>
      </c>
      <c r="I267" s="1" t="s">
        <v>109</v>
      </c>
      <c r="J267">
        <f t="shared" si="6"/>
        <v>0</v>
      </c>
      <c r="K267">
        <f>COUNTIFS(Grunnspill!$A:$A,Annex!B267)</f>
        <v>0</v>
      </c>
      <c r="L267">
        <f>COUNTIFS(Grunnspill!$A:$A,Annex!C267)</f>
        <v>0</v>
      </c>
      <c r="M267">
        <f>COUNTIFS(Grunnspill!$A:$A,Annex!D267)</f>
        <v>0</v>
      </c>
      <c r="N267">
        <f>COUNTIFS(Grunnspill!$A:$A,Annex!E267)</f>
        <v>0</v>
      </c>
      <c r="O267">
        <f>COUNTIFS(Grunnspill!$A:$A,Annex!F267)</f>
        <v>0</v>
      </c>
      <c r="P267">
        <f>COUNTIFS(Grunnspill!$A:$A,Annex!G267)</f>
        <v>0</v>
      </c>
      <c r="Q267">
        <f>COUNTIFS(Grunnspill!$A:$A,Annex!H267)</f>
        <v>0</v>
      </c>
      <c r="R267">
        <f>COUNTIFS(Grunnspill!$A:$A,Annex!I267)</f>
        <v>0</v>
      </c>
    </row>
    <row r="268" spans="1:18" x14ac:dyDescent="0.2">
      <c r="A268">
        <v>265</v>
      </c>
      <c r="B268" s="1" t="s">
        <v>106</v>
      </c>
      <c r="C268" s="1" t="s">
        <v>107</v>
      </c>
      <c r="D268" s="1" t="s">
        <v>103</v>
      </c>
      <c r="E268" s="1" t="s">
        <v>111</v>
      </c>
      <c r="F268" s="1" t="s">
        <v>113</v>
      </c>
      <c r="G268" s="1" t="s">
        <v>110</v>
      </c>
      <c r="H268" s="1" t="s">
        <v>102</v>
      </c>
      <c r="I268" s="1" t="s">
        <v>104</v>
      </c>
      <c r="J268">
        <f t="shared" si="6"/>
        <v>0</v>
      </c>
      <c r="K268">
        <f>COUNTIFS(Grunnspill!$A:$A,Annex!B268)</f>
        <v>0</v>
      </c>
      <c r="L268">
        <f>COUNTIFS(Grunnspill!$A:$A,Annex!C268)</f>
        <v>0</v>
      </c>
      <c r="M268">
        <f>COUNTIFS(Grunnspill!$A:$A,Annex!D268)</f>
        <v>0</v>
      </c>
      <c r="N268">
        <f>COUNTIFS(Grunnspill!$A:$A,Annex!E268)</f>
        <v>0</v>
      </c>
      <c r="O268">
        <f>COUNTIFS(Grunnspill!$A:$A,Annex!F268)</f>
        <v>0</v>
      </c>
      <c r="P268">
        <f>COUNTIFS(Grunnspill!$A:$A,Annex!G268)</f>
        <v>0</v>
      </c>
      <c r="Q268">
        <f>COUNTIFS(Grunnspill!$A:$A,Annex!H268)</f>
        <v>0</v>
      </c>
      <c r="R268">
        <f>COUNTIFS(Grunnspill!$A:$A,Annex!I268)</f>
        <v>0</v>
      </c>
    </row>
    <row r="269" spans="1:18" x14ac:dyDescent="0.2">
      <c r="A269">
        <v>266</v>
      </c>
      <c r="B269" s="1" t="s">
        <v>111</v>
      </c>
      <c r="C269" s="1" t="s">
        <v>103</v>
      </c>
      <c r="D269" s="1" t="s">
        <v>102</v>
      </c>
      <c r="E269" s="1" t="s">
        <v>110</v>
      </c>
      <c r="F269" s="1" t="s">
        <v>113</v>
      </c>
      <c r="G269" s="1" t="s">
        <v>105</v>
      </c>
      <c r="H269" s="1" t="s">
        <v>108</v>
      </c>
      <c r="I269" s="1" t="s">
        <v>109</v>
      </c>
      <c r="J269">
        <f t="shared" si="6"/>
        <v>0</v>
      </c>
      <c r="K269">
        <f>COUNTIFS(Grunnspill!$A:$A,Annex!B269)</f>
        <v>0</v>
      </c>
      <c r="L269">
        <f>COUNTIFS(Grunnspill!$A:$A,Annex!C269)</f>
        <v>0</v>
      </c>
      <c r="M269">
        <f>COUNTIFS(Grunnspill!$A:$A,Annex!D269)</f>
        <v>0</v>
      </c>
      <c r="N269">
        <f>COUNTIFS(Grunnspill!$A:$A,Annex!E269)</f>
        <v>0</v>
      </c>
      <c r="O269">
        <f>COUNTIFS(Grunnspill!$A:$A,Annex!F269)</f>
        <v>0</v>
      </c>
      <c r="P269">
        <f>COUNTIFS(Grunnspill!$A:$A,Annex!G269)</f>
        <v>0</v>
      </c>
      <c r="Q269">
        <f>COUNTIFS(Grunnspill!$A:$A,Annex!H269)</f>
        <v>0</v>
      </c>
      <c r="R269">
        <f>COUNTIFS(Grunnspill!$A:$A,Annex!I269)</f>
        <v>0</v>
      </c>
    </row>
    <row r="270" spans="1:18" x14ac:dyDescent="0.2">
      <c r="A270">
        <v>267</v>
      </c>
      <c r="B270" s="1" t="s">
        <v>111</v>
      </c>
      <c r="C270" s="1" t="s">
        <v>102</v>
      </c>
      <c r="D270" s="1" t="s">
        <v>104</v>
      </c>
      <c r="E270" s="1" t="s">
        <v>110</v>
      </c>
      <c r="F270" s="1" t="s">
        <v>113</v>
      </c>
      <c r="G270" s="1" t="s">
        <v>105</v>
      </c>
      <c r="H270" s="1" t="s">
        <v>108</v>
      </c>
      <c r="I270" s="1" t="s">
        <v>109</v>
      </c>
      <c r="J270">
        <f t="shared" si="6"/>
        <v>0</v>
      </c>
      <c r="K270">
        <f>COUNTIFS(Grunnspill!$A:$A,Annex!B270)</f>
        <v>0</v>
      </c>
      <c r="L270">
        <f>COUNTIFS(Grunnspill!$A:$A,Annex!C270)</f>
        <v>0</v>
      </c>
      <c r="M270">
        <f>COUNTIFS(Grunnspill!$A:$A,Annex!D270)</f>
        <v>0</v>
      </c>
      <c r="N270">
        <f>COUNTIFS(Grunnspill!$A:$A,Annex!E270)</f>
        <v>0</v>
      </c>
      <c r="O270">
        <f>COUNTIFS(Grunnspill!$A:$A,Annex!F270)</f>
        <v>0</v>
      </c>
      <c r="P270">
        <f>COUNTIFS(Grunnspill!$A:$A,Annex!G270)</f>
        <v>0</v>
      </c>
      <c r="Q270">
        <f>COUNTIFS(Grunnspill!$A:$A,Annex!H270)</f>
        <v>0</v>
      </c>
      <c r="R270">
        <f>COUNTIFS(Grunnspill!$A:$A,Annex!I270)</f>
        <v>0</v>
      </c>
    </row>
    <row r="271" spans="1:18" x14ac:dyDescent="0.2">
      <c r="A271">
        <v>268</v>
      </c>
      <c r="B271" s="1" t="s">
        <v>111</v>
      </c>
      <c r="C271" s="1" t="s">
        <v>103</v>
      </c>
      <c r="D271" s="1" t="s">
        <v>102</v>
      </c>
      <c r="E271" s="1" t="s">
        <v>110</v>
      </c>
      <c r="F271" s="1" t="s">
        <v>113</v>
      </c>
      <c r="G271" s="1" t="s">
        <v>105</v>
      </c>
      <c r="H271" s="1" t="s">
        <v>108</v>
      </c>
      <c r="I271" s="1" t="s">
        <v>104</v>
      </c>
      <c r="J271">
        <f t="shared" si="6"/>
        <v>0</v>
      </c>
      <c r="K271">
        <f>COUNTIFS(Grunnspill!$A:$A,Annex!B271)</f>
        <v>0</v>
      </c>
      <c r="L271">
        <f>COUNTIFS(Grunnspill!$A:$A,Annex!C271)</f>
        <v>0</v>
      </c>
      <c r="M271">
        <f>COUNTIFS(Grunnspill!$A:$A,Annex!D271)</f>
        <v>0</v>
      </c>
      <c r="N271">
        <f>COUNTIFS(Grunnspill!$A:$A,Annex!E271)</f>
        <v>0</v>
      </c>
      <c r="O271">
        <f>COUNTIFS(Grunnspill!$A:$A,Annex!F271)</f>
        <v>0</v>
      </c>
      <c r="P271">
        <f>COUNTIFS(Grunnspill!$A:$A,Annex!G271)</f>
        <v>0</v>
      </c>
      <c r="Q271">
        <f>COUNTIFS(Grunnspill!$A:$A,Annex!H271)</f>
        <v>0</v>
      </c>
      <c r="R271">
        <f>COUNTIFS(Grunnspill!$A:$A,Annex!I271)</f>
        <v>0</v>
      </c>
    </row>
    <row r="272" spans="1:18" x14ac:dyDescent="0.2">
      <c r="A272">
        <v>269</v>
      </c>
      <c r="B272" s="1" t="s">
        <v>111</v>
      </c>
      <c r="C272" s="1" t="s">
        <v>103</v>
      </c>
      <c r="D272" s="1" t="s">
        <v>102</v>
      </c>
      <c r="E272" s="1" t="s">
        <v>110</v>
      </c>
      <c r="F272" s="1" t="s">
        <v>113</v>
      </c>
      <c r="G272" s="1" t="s">
        <v>105</v>
      </c>
      <c r="H272" s="1" t="s">
        <v>104</v>
      </c>
      <c r="I272" s="1" t="s">
        <v>109</v>
      </c>
      <c r="J272">
        <f t="shared" si="6"/>
        <v>0</v>
      </c>
      <c r="K272">
        <f>COUNTIFS(Grunnspill!$A:$A,Annex!B272)</f>
        <v>0</v>
      </c>
      <c r="L272">
        <f>COUNTIFS(Grunnspill!$A:$A,Annex!C272)</f>
        <v>0</v>
      </c>
      <c r="M272">
        <f>COUNTIFS(Grunnspill!$A:$A,Annex!D272)</f>
        <v>0</v>
      </c>
      <c r="N272">
        <f>COUNTIFS(Grunnspill!$A:$A,Annex!E272)</f>
        <v>0</v>
      </c>
      <c r="O272">
        <f>COUNTIFS(Grunnspill!$A:$A,Annex!F272)</f>
        <v>0</v>
      </c>
      <c r="P272">
        <f>COUNTIFS(Grunnspill!$A:$A,Annex!G272)</f>
        <v>0</v>
      </c>
      <c r="Q272">
        <f>COUNTIFS(Grunnspill!$A:$A,Annex!H272)</f>
        <v>0</v>
      </c>
      <c r="R272">
        <f>COUNTIFS(Grunnspill!$A:$A,Annex!I272)</f>
        <v>0</v>
      </c>
    </row>
    <row r="273" spans="1:18" x14ac:dyDescent="0.2">
      <c r="A273">
        <v>270</v>
      </c>
      <c r="B273" s="1" t="s">
        <v>106</v>
      </c>
      <c r="C273" s="1" t="s">
        <v>102</v>
      </c>
      <c r="D273" s="1" t="s">
        <v>105</v>
      </c>
      <c r="E273" s="1" t="s">
        <v>111</v>
      </c>
      <c r="F273" s="1" t="s">
        <v>113</v>
      </c>
      <c r="G273" s="1" t="s">
        <v>110</v>
      </c>
      <c r="H273" s="1" t="s">
        <v>108</v>
      </c>
      <c r="I273" s="1" t="s">
        <v>109</v>
      </c>
      <c r="J273">
        <f t="shared" si="6"/>
        <v>0</v>
      </c>
      <c r="K273">
        <f>COUNTIFS(Grunnspill!$A:$A,Annex!B273)</f>
        <v>0</v>
      </c>
      <c r="L273">
        <f>COUNTIFS(Grunnspill!$A:$A,Annex!C273)</f>
        <v>0</v>
      </c>
      <c r="M273">
        <f>COUNTIFS(Grunnspill!$A:$A,Annex!D273)</f>
        <v>0</v>
      </c>
      <c r="N273">
        <f>COUNTIFS(Grunnspill!$A:$A,Annex!E273)</f>
        <v>0</v>
      </c>
      <c r="O273">
        <f>COUNTIFS(Grunnspill!$A:$A,Annex!F273)</f>
        <v>0</v>
      </c>
      <c r="P273">
        <f>COUNTIFS(Grunnspill!$A:$A,Annex!G273)</f>
        <v>0</v>
      </c>
      <c r="Q273">
        <f>COUNTIFS(Grunnspill!$A:$A,Annex!H273)</f>
        <v>0</v>
      </c>
      <c r="R273">
        <f>COUNTIFS(Grunnspill!$A:$A,Annex!I273)</f>
        <v>0</v>
      </c>
    </row>
    <row r="274" spans="1:18" x14ac:dyDescent="0.2">
      <c r="A274">
        <v>271</v>
      </c>
      <c r="B274" s="1" t="s">
        <v>106</v>
      </c>
      <c r="C274" s="1" t="s">
        <v>103</v>
      </c>
      <c r="D274" s="1" t="s">
        <v>105</v>
      </c>
      <c r="E274" s="1" t="s">
        <v>111</v>
      </c>
      <c r="F274" s="1" t="s">
        <v>113</v>
      </c>
      <c r="G274" s="1" t="s">
        <v>110</v>
      </c>
      <c r="H274" s="1" t="s">
        <v>108</v>
      </c>
      <c r="I274" s="1" t="s">
        <v>102</v>
      </c>
      <c r="J274">
        <f t="shared" si="6"/>
        <v>0</v>
      </c>
      <c r="K274">
        <f>COUNTIFS(Grunnspill!$A:$A,Annex!B274)</f>
        <v>0</v>
      </c>
      <c r="L274">
        <f>COUNTIFS(Grunnspill!$A:$A,Annex!C274)</f>
        <v>0</v>
      </c>
      <c r="M274">
        <f>COUNTIFS(Grunnspill!$A:$A,Annex!D274)</f>
        <v>0</v>
      </c>
      <c r="N274">
        <f>COUNTIFS(Grunnspill!$A:$A,Annex!E274)</f>
        <v>0</v>
      </c>
      <c r="O274">
        <f>COUNTIFS(Grunnspill!$A:$A,Annex!F274)</f>
        <v>0</v>
      </c>
      <c r="P274">
        <f>COUNTIFS(Grunnspill!$A:$A,Annex!G274)</f>
        <v>0</v>
      </c>
      <c r="Q274">
        <f>COUNTIFS(Grunnspill!$A:$A,Annex!H274)</f>
        <v>0</v>
      </c>
      <c r="R274">
        <f>COUNTIFS(Grunnspill!$A:$A,Annex!I274)</f>
        <v>0</v>
      </c>
    </row>
    <row r="275" spans="1:18" x14ac:dyDescent="0.2">
      <c r="A275">
        <v>272</v>
      </c>
      <c r="B275" s="1" t="s">
        <v>106</v>
      </c>
      <c r="C275" s="1" t="s">
        <v>103</v>
      </c>
      <c r="D275" s="1" t="s">
        <v>102</v>
      </c>
      <c r="E275" s="1" t="s">
        <v>111</v>
      </c>
      <c r="F275" s="1" t="s">
        <v>113</v>
      </c>
      <c r="G275" s="1" t="s">
        <v>105</v>
      </c>
      <c r="H275" s="1" t="s">
        <v>110</v>
      </c>
      <c r="I275" s="1" t="s">
        <v>109</v>
      </c>
      <c r="J275">
        <f t="shared" si="6"/>
        <v>0</v>
      </c>
      <c r="K275">
        <f>COUNTIFS(Grunnspill!$A:$A,Annex!B275)</f>
        <v>0</v>
      </c>
      <c r="L275">
        <f>COUNTIFS(Grunnspill!$A:$A,Annex!C275)</f>
        <v>0</v>
      </c>
      <c r="M275">
        <f>COUNTIFS(Grunnspill!$A:$A,Annex!D275)</f>
        <v>0</v>
      </c>
      <c r="N275">
        <f>COUNTIFS(Grunnspill!$A:$A,Annex!E275)</f>
        <v>0</v>
      </c>
      <c r="O275">
        <f>COUNTIFS(Grunnspill!$A:$A,Annex!F275)</f>
        <v>0</v>
      </c>
      <c r="P275">
        <f>COUNTIFS(Grunnspill!$A:$A,Annex!G275)</f>
        <v>0</v>
      </c>
      <c r="Q275">
        <f>COUNTIFS(Grunnspill!$A:$A,Annex!H275)</f>
        <v>0</v>
      </c>
      <c r="R275">
        <f>COUNTIFS(Grunnspill!$A:$A,Annex!I275)</f>
        <v>0</v>
      </c>
    </row>
    <row r="276" spans="1:18" x14ac:dyDescent="0.2">
      <c r="A276">
        <v>273</v>
      </c>
      <c r="B276" s="1" t="s">
        <v>106</v>
      </c>
      <c r="C276" s="1" t="s">
        <v>102</v>
      </c>
      <c r="D276" s="1" t="s">
        <v>105</v>
      </c>
      <c r="E276" s="1" t="s">
        <v>111</v>
      </c>
      <c r="F276" s="1" t="s">
        <v>113</v>
      </c>
      <c r="G276" s="1" t="s">
        <v>110</v>
      </c>
      <c r="H276" s="1" t="s">
        <v>108</v>
      </c>
      <c r="I276" s="1" t="s">
        <v>104</v>
      </c>
      <c r="J276">
        <f t="shared" si="6"/>
        <v>0</v>
      </c>
      <c r="K276">
        <f>COUNTIFS(Grunnspill!$A:$A,Annex!B276)</f>
        <v>0</v>
      </c>
      <c r="L276">
        <f>COUNTIFS(Grunnspill!$A:$A,Annex!C276)</f>
        <v>0</v>
      </c>
      <c r="M276">
        <f>COUNTIFS(Grunnspill!$A:$A,Annex!D276)</f>
        <v>0</v>
      </c>
      <c r="N276">
        <f>COUNTIFS(Grunnspill!$A:$A,Annex!E276)</f>
        <v>0</v>
      </c>
      <c r="O276">
        <f>COUNTIFS(Grunnspill!$A:$A,Annex!F276)</f>
        <v>0</v>
      </c>
      <c r="P276">
        <f>COUNTIFS(Grunnspill!$A:$A,Annex!G276)</f>
        <v>0</v>
      </c>
      <c r="Q276">
        <f>COUNTIFS(Grunnspill!$A:$A,Annex!H276)</f>
        <v>0</v>
      </c>
      <c r="R276">
        <f>COUNTIFS(Grunnspill!$A:$A,Annex!I276)</f>
        <v>0</v>
      </c>
    </row>
    <row r="277" spans="1:18" x14ac:dyDescent="0.2">
      <c r="A277">
        <v>274</v>
      </c>
      <c r="B277" s="1" t="s">
        <v>106</v>
      </c>
      <c r="C277" s="1" t="s">
        <v>102</v>
      </c>
      <c r="D277" s="1" t="s">
        <v>105</v>
      </c>
      <c r="E277" s="1" t="s">
        <v>111</v>
      </c>
      <c r="F277" s="1" t="s">
        <v>113</v>
      </c>
      <c r="G277" s="1" t="s">
        <v>110</v>
      </c>
      <c r="H277" s="1" t="s">
        <v>104</v>
      </c>
      <c r="I277" s="1" t="s">
        <v>109</v>
      </c>
      <c r="J277">
        <f t="shared" si="6"/>
        <v>0</v>
      </c>
      <c r="K277">
        <f>COUNTIFS(Grunnspill!$A:$A,Annex!B277)</f>
        <v>0</v>
      </c>
      <c r="L277">
        <f>COUNTIFS(Grunnspill!$A:$A,Annex!C277)</f>
        <v>0</v>
      </c>
      <c r="M277">
        <f>COUNTIFS(Grunnspill!$A:$A,Annex!D277)</f>
        <v>0</v>
      </c>
      <c r="N277">
        <f>COUNTIFS(Grunnspill!$A:$A,Annex!E277)</f>
        <v>0</v>
      </c>
      <c r="O277">
        <f>COUNTIFS(Grunnspill!$A:$A,Annex!F277)</f>
        <v>0</v>
      </c>
      <c r="P277">
        <f>COUNTIFS(Grunnspill!$A:$A,Annex!G277)</f>
        <v>0</v>
      </c>
      <c r="Q277">
        <f>COUNTIFS(Grunnspill!$A:$A,Annex!H277)</f>
        <v>0</v>
      </c>
      <c r="R277">
        <f>COUNTIFS(Grunnspill!$A:$A,Annex!I277)</f>
        <v>0</v>
      </c>
    </row>
    <row r="278" spans="1:18" x14ac:dyDescent="0.2">
      <c r="A278">
        <v>275</v>
      </c>
      <c r="B278" s="1" t="s">
        <v>106</v>
      </c>
      <c r="C278" s="1" t="s">
        <v>103</v>
      </c>
      <c r="D278" s="1" t="s">
        <v>102</v>
      </c>
      <c r="E278" s="1" t="s">
        <v>111</v>
      </c>
      <c r="F278" s="1" t="s">
        <v>113</v>
      </c>
      <c r="G278" s="1" t="s">
        <v>105</v>
      </c>
      <c r="H278" s="1" t="s">
        <v>110</v>
      </c>
      <c r="I278" s="1" t="s">
        <v>104</v>
      </c>
      <c r="J278">
        <f t="shared" ref="J278:J341" si="7">SUM(K278:R278)</f>
        <v>0</v>
      </c>
      <c r="K278">
        <f>COUNTIFS(Grunnspill!$A:$A,Annex!B278)</f>
        <v>0</v>
      </c>
      <c r="L278">
        <f>COUNTIFS(Grunnspill!$A:$A,Annex!C278)</f>
        <v>0</v>
      </c>
      <c r="M278">
        <f>COUNTIFS(Grunnspill!$A:$A,Annex!D278)</f>
        <v>0</v>
      </c>
      <c r="N278">
        <f>COUNTIFS(Grunnspill!$A:$A,Annex!E278)</f>
        <v>0</v>
      </c>
      <c r="O278">
        <f>COUNTIFS(Grunnspill!$A:$A,Annex!F278)</f>
        <v>0</v>
      </c>
      <c r="P278">
        <f>COUNTIFS(Grunnspill!$A:$A,Annex!G278)</f>
        <v>0</v>
      </c>
      <c r="Q278">
        <f>COUNTIFS(Grunnspill!$A:$A,Annex!H278)</f>
        <v>0</v>
      </c>
      <c r="R278">
        <f>COUNTIFS(Grunnspill!$A:$A,Annex!I278)</f>
        <v>0</v>
      </c>
    </row>
    <row r="279" spans="1:18" x14ac:dyDescent="0.2">
      <c r="A279">
        <v>276</v>
      </c>
      <c r="B279" s="1" t="s">
        <v>111</v>
      </c>
      <c r="C279" s="1" t="s">
        <v>107</v>
      </c>
      <c r="D279" s="1" t="s">
        <v>102</v>
      </c>
      <c r="E279" s="1" t="s">
        <v>110</v>
      </c>
      <c r="F279" s="1" t="s">
        <v>113</v>
      </c>
      <c r="G279" s="1" t="s">
        <v>105</v>
      </c>
      <c r="H279" s="1" t="s">
        <v>108</v>
      </c>
      <c r="I279" s="1" t="s">
        <v>109</v>
      </c>
      <c r="J279">
        <f t="shared" si="7"/>
        <v>0</v>
      </c>
      <c r="K279">
        <f>COUNTIFS(Grunnspill!$A:$A,Annex!B279)</f>
        <v>0</v>
      </c>
      <c r="L279">
        <f>COUNTIFS(Grunnspill!$A:$A,Annex!C279)</f>
        <v>0</v>
      </c>
      <c r="M279">
        <f>COUNTIFS(Grunnspill!$A:$A,Annex!D279)</f>
        <v>0</v>
      </c>
      <c r="N279">
        <f>COUNTIFS(Grunnspill!$A:$A,Annex!E279)</f>
        <v>0</v>
      </c>
      <c r="O279">
        <f>COUNTIFS(Grunnspill!$A:$A,Annex!F279)</f>
        <v>0</v>
      </c>
      <c r="P279">
        <f>COUNTIFS(Grunnspill!$A:$A,Annex!G279)</f>
        <v>0</v>
      </c>
      <c r="Q279">
        <f>COUNTIFS(Grunnspill!$A:$A,Annex!H279)</f>
        <v>0</v>
      </c>
      <c r="R279">
        <f>COUNTIFS(Grunnspill!$A:$A,Annex!I279)</f>
        <v>0</v>
      </c>
    </row>
    <row r="280" spans="1:18" x14ac:dyDescent="0.2">
      <c r="A280">
        <v>277</v>
      </c>
      <c r="B280" s="1" t="s">
        <v>111</v>
      </c>
      <c r="C280" s="1" t="s">
        <v>107</v>
      </c>
      <c r="D280" s="1" t="s">
        <v>103</v>
      </c>
      <c r="E280" s="1" t="s">
        <v>110</v>
      </c>
      <c r="F280" s="1" t="s">
        <v>113</v>
      </c>
      <c r="G280" s="1" t="s">
        <v>105</v>
      </c>
      <c r="H280" s="1" t="s">
        <v>108</v>
      </c>
      <c r="I280" s="1" t="s">
        <v>102</v>
      </c>
      <c r="J280">
        <f t="shared" si="7"/>
        <v>0</v>
      </c>
      <c r="K280">
        <f>COUNTIFS(Grunnspill!$A:$A,Annex!B280)</f>
        <v>0</v>
      </c>
      <c r="L280">
        <f>COUNTIFS(Grunnspill!$A:$A,Annex!C280)</f>
        <v>0</v>
      </c>
      <c r="M280">
        <f>COUNTIFS(Grunnspill!$A:$A,Annex!D280)</f>
        <v>0</v>
      </c>
      <c r="N280">
        <f>COUNTIFS(Grunnspill!$A:$A,Annex!E280)</f>
        <v>0</v>
      </c>
      <c r="O280">
        <f>COUNTIFS(Grunnspill!$A:$A,Annex!F280)</f>
        <v>0</v>
      </c>
      <c r="P280">
        <f>COUNTIFS(Grunnspill!$A:$A,Annex!G280)</f>
        <v>0</v>
      </c>
      <c r="Q280">
        <f>COUNTIFS(Grunnspill!$A:$A,Annex!H280)</f>
        <v>0</v>
      </c>
      <c r="R280">
        <f>COUNTIFS(Grunnspill!$A:$A,Annex!I280)</f>
        <v>0</v>
      </c>
    </row>
    <row r="281" spans="1:18" x14ac:dyDescent="0.2">
      <c r="A281">
        <v>278</v>
      </c>
      <c r="B281" s="1" t="s">
        <v>111</v>
      </c>
      <c r="C281" s="1" t="s">
        <v>107</v>
      </c>
      <c r="D281" s="1" t="s">
        <v>103</v>
      </c>
      <c r="E281" s="1" t="s">
        <v>110</v>
      </c>
      <c r="F281" s="1" t="s">
        <v>113</v>
      </c>
      <c r="G281" s="1" t="s">
        <v>105</v>
      </c>
      <c r="H281" s="1" t="s">
        <v>102</v>
      </c>
      <c r="I281" s="1" t="s">
        <v>109</v>
      </c>
      <c r="J281">
        <f t="shared" si="7"/>
        <v>0</v>
      </c>
      <c r="K281">
        <f>COUNTIFS(Grunnspill!$A:$A,Annex!B281)</f>
        <v>0</v>
      </c>
      <c r="L281">
        <f>COUNTIFS(Grunnspill!$A:$A,Annex!C281)</f>
        <v>0</v>
      </c>
      <c r="M281">
        <f>COUNTIFS(Grunnspill!$A:$A,Annex!D281)</f>
        <v>0</v>
      </c>
      <c r="N281">
        <f>COUNTIFS(Grunnspill!$A:$A,Annex!E281)</f>
        <v>0</v>
      </c>
      <c r="O281">
        <f>COUNTIFS(Grunnspill!$A:$A,Annex!F281)</f>
        <v>0</v>
      </c>
      <c r="P281">
        <f>COUNTIFS(Grunnspill!$A:$A,Annex!G281)</f>
        <v>0</v>
      </c>
      <c r="Q281">
        <f>COUNTIFS(Grunnspill!$A:$A,Annex!H281)</f>
        <v>0</v>
      </c>
      <c r="R281">
        <f>COUNTIFS(Grunnspill!$A:$A,Annex!I281)</f>
        <v>0</v>
      </c>
    </row>
    <row r="282" spans="1:18" x14ac:dyDescent="0.2">
      <c r="A282">
        <v>279</v>
      </c>
      <c r="B282" s="1" t="s">
        <v>111</v>
      </c>
      <c r="C282" s="1" t="s">
        <v>107</v>
      </c>
      <c r="D282" s="1" t="s">
        <v>102</v>
      </c>
      <c r="E282" s="1" t="s">
        <v>110</v>
      </c>
      <c r="F282" s="1" t="s">
        <v>113</v>
      </c>
      <c r="G282" s="1" t="s">
        <v>105</v>
      </c>
      <c r="H282" s="1" t="s">
        <v>108</v>
      </c>
      <c r="I282" s="1" t="s">
        <v>104</v>
      </c>
      <c r="J282">
        <f t="shared" si="7"/>
        <v>0</v>
      </c>
      <c r="K282">
        <f>COUNTIFS(Grunnspill!$A:$A,Annex!B282)</f>
        <v>0</v>
      </c>
      <c r="L282">
        <f>COUNTIFS(Grunnspill!$A:$A,Annex!C282)</f>
        <v>0</v>
      </c>
      <c r="M282">
        <f>COUNTIFS(Grunnspill!$A:$A,Annex!D282)</f>
        <v>0</v>
      </c>
      <c r="N282">
        <f>COUNTIFS(Grunnspill!$A:$A,Annex!E282)</f>
        <v>0</v>
      </c>
      <c r="O282">
        <f>COUNTIFS(Grunnspill!$A:$A,Annex!F282)</f>
        <v>0</v>
      </c>
      <c r="P282">
        <f>COUNTIFS(Grunnspill!$A:$A,Annex!G282)</f>
        <v>0</v>
      </c>
      <c r="Q282">
        <f>COUNTIFS(Grunnspill!$A:$A,Annex!H282)</f>
        <v>0</v>
      </c>
      <c r="R282">
        <f>COUNTIFS(Grunnspill!$A:$A,Annex!I282)</f>
        <v>0</v>
      </c>
    </row>
    <row r="283" spans="1:18" x14ac:dyDescent="0.2">
      <c r="A283">
        <v>280</v>
      </c>
      <c r="B283" s="1" t="s">
        <v>111</v>
      </c>
      <c r="C283" s="1" t="s">
        <v>107</v>
      </c>
      <c r="D283" s="1" t="s">
        <v>102</v>
      </c>
      <c r="E283" s="1" t="s">
        <v>110</v>
      </c>
      <c r="F283" s="1" t="s">
        <v>113</v>
      </c>
      <c r="G283" s="1" t="s">
        <v>105</v>
      </c>
      <c r="H283" s="1" t="s">
        <v>104</v>
      </c>
      <c r="I283" s="1" t="s">
        <v>109</v>
      </c>
      <c r="J283">
        <f t="shared" si="7"/>
        <v>0</v>
      </c>
      <c r="K283">
        <f>COUNTIFS(Grunnspill!$A:$A,Annex!B283)</f>
        <v>0</v>
      </c>
      <c r="L283">
        <f>COUNTIFS(Grunnspill!$A:$A,Annex!C283)</f>
        <v>0</v>
      </c>
      <c r="M283">
        <f>COUNTIFS(Grunnspill!$A:$A,Annex!D283)</f>
        <v>0</v>
      </c>
      <c r="N283">
        <f>COUNTIFS(Grunnspill!$A:$A,Annex!E283)</f>
        <v>0</v>
      </c>
      <c r="O283">
        <f>COUNTIFS(Grunnspill!$A:$A,Annex!F283)</f>
        <v>0</v>
      </c>
      <c r="P283">
        <f>COUNTIFS(Grunnspill!$A:$A,Annex!G283)</f>
        <v>0</v>
      </c>
      <c r="Q283">
        <f>COUNTIFS(Grunnspill!$A:$A,Annex!H283)</f>
        <v>0</v>
      </c>
      <c r="R283">
        <f>COUNTIFS(Grunnspill!$A:$A,Annex!I283)</f>
        <v>0</v>
      </c>
    </row>
    <row r="284" spans="1:18" x14ac:dyDescent="0.2">
      <c r="A284">
        <v>281</v>
      </c>
      <c r="B284" s="1" t="s">
        <v>111</v>
      </c>
      <c r="C284" s="1" t="s">
        <v>107</v>
      </c>
      <c r="D284" s="1" t="s">
        <v>103</v>
      </c>
      <c r="E284" s="1" t="s">
        <v>110</v>
      </c>
      <c r="F284" s="1" t="s">
        <v>113</v>
      </c>
      <c r="G284" s="1" t="s">
        <v>105</v>
      </c>
      <c r="H284" s="1" t="s">
        <v>102</v>
      </c>
      <c r="I284" s="1" t="s">
        <v>104</v>
      </c>
      <c r="J284">
        <f t="shared" si="7"/>
        <v>0</v>
      </c>
      <c r="K284">
        <f>COUNTIFS(Grunnspill!$A:$A,Annex!B284)</f>
        <v>0</v>
      </c>
      <c r="L284">
        <f>COUNTIFS(Grunnspill!$A:$A,Annex!C284)</f>
        <v>0</v>
      </c>
      <c r="M284">
        <f>COUNTIFS(Grunnspill!$A:$A,Annex!D284)</f>
        <v>0</v>
      </c>
      <c r="N284">
        <f>COUNTIFS(Grunnspill!$A:$A,Annex!E284)</f>
        <v>0</v>
      </c>
      <c r="O284">
        <f>COUNTIFS(Grunnspill!$A:$A,Annex!F284)</f>
        <v>0</v>
      </c>
      <c r="P284">
        <f>COUNTIFS(Grunnspill!$A:$A,Annex!G284)</f>
        <v>0</v>
      </c>
      <c r="Q284">
        <f>COUNTIFS(Grunnspill!$A:$A,Annex!H284)</f>
        <v>0</v>
      </c>
      <c r="R284">
        <f>COUNTIFS(Grunnspill!$A:$A,Annex!I284)</f>
        <v>0</v>
      </c>
    </row>
    <row r="285" spans="1:18" x14ac:dyDescent="0.2">
      <c r="A285">
        <v>282</v>
      </c>
      <c r="B285" s="1" t="s">
        <v>106</v>
      </c>
      <c r="C285" s="1" t="s">
        <v>107</v>
      </c>
      <c r="D285" s="1" t="s">
        <v>105</v>
      </c>
      <c r="E285" s="1" t="s">
        <v>111</v>
      </c>
      <c r="F285" s="1" t="s">
        <v>113</v>
      </c>
      <c r="G285" s="1" t="s">
        <v>110</v>
      </c>
      <c r="H285" s="1" t="s">
        <v>108</v>
      </c>
      <c r="I285" s="1" t="s">
        <v>102</v>
      </c>
      <c r="J285">
        <f t="shared" si="7"/>
        <v>0</v>
      </c>
      <c r="K285">
        <f>COUNTIFS(Grunnspill!$A:$A,Annex!B285)</f>
        <v>0</v>
      </c>
      <c r="L285">
        <f>COUNTIFS(Grunnspill!$A:$A,Annex!C285)</f>
        <v>0</v>
      </c>
      <c r="M285">
        <f>COUNTIFS(Grunnspill!$A:$A,Annex!D285)</f>
        <v>0</v>
      </c>
      <c r="N285">
        <f>COUNTIFS(Grunnspill!$A:$A,Annex!E285)</f>
        <v>0</v>
      </c>
      <c r="O285">
        <f>COUNTIFS(Grunnspill!$A:$A,Annex!F285)</f>
        <v>0</v>
      </c>
      <c r="P285">
        <f>COUNTIFS(Grunnspill!$A:$A,Annex!G285)</f>
        <v>0</v>
      </c>
      <c r="Q285">
        <f>COUNTIFS(Grunnspill!$A:$A,Annex!H285)</f>
        <v>0</v>
      </c>
      <c r="R285">
        <f>COUNTIFS(Grunnspill!$A:$A,Annex!I285)</f>
        <v>0</v>
      </c>
    </row>
    <row r="286" spans="1:18" x14ac:dyDescent="0.2">
      <c r="A286">
        <v>283</v>
      </c>
      <c r="B286" s="1" t="s">
        <v>106</v>
      </c>
      <c r="C286" s="1" t="s">
        <v>107</v>
      </c>
      <c r="D286" s="1" t="s">
        <v>102</v>
      </c>
      <c r="E286" s="1" t="s">
        <v>111</v>
      </c>
      <c r="F286" s="1" t="s">
        <v>113</v>
      </c>
      <c r="G286" s="1" t="s">
        <v>105</v>
      </c>
      <c r="H286" s="1" t="s">
        <v>110</v>
      </c>
      <c r="I286" s="1" t="s">
        <v>109</v>
      </c>
      <c r="J286">
        <f t="shared" si="7"/>
        <v>0</v>
      </c>
      <c r="K286">
        <f>COUNTIFS(Grunnspill!$A:$A,Annex!B286)</f>
        <v>0</v>
      </c>
      <c r="L286">
        <f>COUNTIFS(Grunnspill!$A:$A,Annex!C286)</f>
        <v>0</v>
      </c>
      <c r="M286">
        <f>COUNTIFS(Grunnspill!$A:$A,Annex!D286)</f>
        <v>0</v>
      </c>
      <c r="N286">
        <f>COUNTIFS(Grunnspill!$A:$A,Annex!E286)</f>
        <v>0</v>
      </c>
      <c r="O286">
        <f>COUNTIFS(Grunnspill!$A:$A,Annex!F286)</f>
        <v>0</v>
      </c>
      <c r="P286">
        <f>COUNTIFS(Grunnspill!$A:$A,Annex!G286)</f>
        <v>0</v>
      </c>
      <c r="Q286">
        <f>COUNTIFS(Grunnspill!$A:$A,Annex!H286)</f>
        <v>0</v>
      </c>
      <c r="R286">
        <f>COUNTIFS(Grunnspill!$A:$A,Annex!I286)</f>
        <v>0</v>
      </c>
    </row>
    <row r="287" spans="1:18" x14ac:dyDescent="0.2">
      <c r="A287">
        <v>284</v>
      </c>
      <c r="B287" s="1" t="s">
        <v>106</v>
      </c>
      <c r="C287" s="1" t="s">
        <v>107</v>
      </c>
      <c r="D287" s="1" t="s">
        <v>103</v>
      </c>
      <c r="E287" s="1" t="s">
        <v>111</v>
      </c>
      <c r="F287" s="1" t="s">
        <v>113</v>
      </c>
      <c r="G287" s="1" t="s">
        <v>105</v>
      </c>
      <c r="H287" s="1" t="s">
        <v>110</v>
      </c>
      <c r="I287" s="1" t="s">
        <v>102</v>
      </c>
      <c r="J287">
        <f t="shared" si="7"/>
        <v>0</v>
      </c>
      <c r="K287">
        <f>COUNTIFS(Grunnspill!$A:$A,Annex!B287)</f>
        <v>0</v>
      </c>
      <c r="L287">
        <f>COUNTIFS(Grunnspill!$A:$A,Annex!C287)</f>
        <v>0</v>
      </c>
      <c r="M287">
        <f>COUNTIFS(Grunnspill!$A:$A,Annex!D287)</f>
        <v>0</v>
      </c>
      <c r="N287">
        <f>COUNTIFS(Grunnspill!$A:$A,Annex!E287)</f>
        <v>0</v>
      </c>
      <c r="O287">
        <f>COUNTIFS(Grunnspill!$A:$A,Annex!F287)</f>
        <v>0</v>
      </c>
      <c r="P287">
        <f>COUNTIFS(Grunnspill!$A:$A,Annex!G287)</f>
        <v>0</v>
      </c>
      <c r="Q287">
        <f>COUNTIFS(Grunnspill!$A:$A,Annex!H287)</f>
        <v>0</v>
      </c>
      <c r="R287">
        <f>COUNTIFS(Grunnspill!$A:$A,Annex!I287)</f>
        <v>0</v>
      </c>
    </row>
    <row r="288" spans="1:18" x14ac:dyDescent="0.2">
      <c r="A288">
        <v>285</v>
      </c>
      <c r="B288" s="1" t="s">
        <v>106</v>
      </c>
      <c r="C288" s="1" t="s">
        <v>107</v>
      </c>
      <c r="D288" s="1" t="s">
        <v>102</v>
      </c>
      <c r="E288" s="1" t="s">
        <v>111</v>
      </c>
      <c r="F288" s="1" t="s">
        <v>113</v>
      </c>
      <c r="G288" s="1" t="s">
        <v>105</v>
      </c>
      <c r="H288" s="1" t="s">
        <v>110</v>
      </c>
      <c r="I288" s="1" t="s">
        <v>104</v>
      </c>
      <c r="J288">
        <f t="shared" si="7"/>
        <v>0</v>
      </c>
      <c r="K288">
        <f>COUNTIFS(Grunnspill!$A:$A,Annex!B288)</f>
        <v>0</v>
      </c>
      <c r="L288">
        <f>COUNTIFS(Grunnspill!$A:$A,Annex!C288)</f>
        <v>0</v>
      </c>
      <c r="M288">
        <f>COUNTIFS(Grunnspill!$A:$A,Annex!D288)</f>
        <v>0</v>
      </c>
      <c r="N288">
        <f>COUNTIFS(Grunnspill!$A:$A,Annex!E288)</f>
        <v>0</v>
      </c>
      <c r="O288">
        <f>COUNTIFS(Grunnspill!$A:$A,Annex!F288)</f>
        <v>0</v>
      </c>
      <c r="P288">
        <f>COUNTIFS(Grunnspill!$A:$A,Annex!G288)</f>
        <v>0</v>
      </c>
      <c r="Q288">
        <f>COUNTIFS(Grunnspill!$A:$A,Annex!H288)</f>
        <v>0</v>
      </c>
      <c r="R288">
        <f>COUNTIFS(Grunnspill!$A:$A,Annex!I288)</f>
        <v>0</v>
      </c>
    </row>
    <row r="289" spans="1:18" x14ac:dyDescent="0.2">
      <c r="A289">
        <v>286</v>
      </c>
      <c r="B289" s="1" t="s">
        <v>106</v>
      </c>
      <c r="C289" s="1" t="s">
        <v>103</v>
      </c>
      <c r="D289" s="1" t="s">
        <v>112</v>
      </c>
      <c r="E289" s="1" t="s">
        <v>113</v>
      </c>
      <c r="F289" s="1" t="s">
        <v>104</v>
      </c>
      <c r="G289" s="1" t="s">
        <v>107</v>
      </c>
      <c r="H289" s="1" t="s">
        <v>108</v>
      </c>
      <c r="I289" s="1" t="s">
        <v>109</v>
      </c>
      <c r="J289">
        <f t="shared" si="7"/>
        <v>0</v>
      </c>
      <c r="K289">
        <f>COUNTIFS(Grunnspill!$A:$A,Annex!B289)</f>
        <v>0</v>
      </c>
      <c r="L289">
        <f>COUNTIFS(Grunnspill!$A:$A,Annex!C289)</f>
        <v>0</v>
      </c>
      <c r="M289">
        <f>COUNTIFS(Grunnspill!$A:$A,Annex!D289)</f>
        <v>0</v>
      </c>
      <c r="N289">
        <f>COUNTIFS(Grunnspill!$A:$A,Annex!E289)</f>
        <v>0</v>
      </c>
      <c r="O289">
        <f>COUNTIFS(Grunnspill!$A:$A,Annex!F289)</f>
        <v>0</v>
      </c>
      <c r="P289">
        <f>COUNTIFS(Grunnspill!$A:$A,Annex!G289)</f>
        <v>0</v>
      </c>
      <c r="Q289">
        <f>COUNTIFS(Grunnspill!$A:$A,Annex!H289)</f>
        <v>0</v>
      </c>
      <c r="R289">
        <f>COUNTIFS(Grunnspill!$A:$A,Annex!I289)</f>
        <v>0</v>
      </c>
    </row>
    <row r="290" spans="1:18" x14ac:dyDescent="0.2">
      <c r="A290">
        <v>287</v>
      </c>
      <c r="B290" s="1" t="s">
        <v>106</v>
      </c>
      <c r="C290" s="1" t="s">
        <v>103</v>
      </c>
      <c r="D290" s="1" t="s">
        <v>112</v>
      </c>
      <c r="E290" s="1" t="s">
        <v>113</v>
      </c>
      <c r="F290" s="1" t="s">
        <v>104</v>
      </c>
      <c r="G290" s="1" t="s">
        <v>105</v>
      </c>
      <c r="H290" s="1" t="s">
        <v>108</v>
      </c>
      <c r="I290" s="1" t="s">
        <v>109</v>
      </c>
      <c r="J290">
        <f t="shared" si="7"/>
        <v>0</v>
      </c>
      <c r="K290">
        <f>COUNTIFS(Grunnspill!$A:$A,Annex!B290)</f>
        <v>0</v>
      </c>
      <c r="L290">
        <f>COUNTIFS(Grunnspill!$A:$A,Annex!C290)</f>
        <v>0</v>
      </c>
      <c r="M290">
        <f>COUNTIFS(Grunnspill!$A:$A,Annex!D290)</f>
        <v>0</v>
      </c>
      <c r="N290">
        <f>COUNTIFS(Grunnspill!$A:$A,Annex!E290)</f>
        <v>0</v>
      </c>
      <c r="O290">
        <f>COUNTIFS(Grunnspill!$A:$A,Annex!F290)</f>
        <v>0</v>
      </c>
      <c r="P290">
        <f>COUNTIFS(Grunnspill!$A:$A,Annex!G290)</f>
        <v>0</v>
      </c>
      <c r="Q290">
        <f>COUNTIFS(Grunnspill!$A:$A,Annex!H290)</f>
        <v>0</v>
      </c>
      <c r="R290">
        <f>COUNTIFS(Grunnspill!$A:$A,Annex!I290)</f>
        <v>0</v>
      </c>
    </row>
    <row r="291" spans="1:18" x14ac:dyDescent="0.2">
      <c r="A291">
        <v>288</v>
      </c>
      <c r="B291" s="1" t="s">
        <v>104</v>
      </c>
      <c r="C291" s="1" t="s">
        <v>103</v>
      </c>
      <c r="D291" s="1" t="s">
        <v>112</v>
      </c>
      <c r="E291" s="1" t="s">
        <v>105</v>
      </c>
      <c r="F291" s="1" t="s">
        <v>113</v>
      </c>
      <c r="G291" s="1" t="s">
        <v>107</v>
      </c>
      <c r="H291" s="1" t="s">
        <v>108</v>
      </c>
      <c r="I291" s="1" t="s">
        <v>109</v>
      </c>
      <c r="J291">
        <f t="shared" si="7"/>
        <v>0</v>
      </c>
      <c r="K291">
        <f>COUNTIFS(Grunnspill!$A:$A,Annex!B291)</f>
        <v>0</v>
      </c>
      <c r="L291">
        <f>COUNTIFS(Grunnspill!$A:$A,Annex!C291)</f>
        <v>0</v>
      </c>
      <c r="M291">
        <f>COUNTIFS(Grunnspill!$A:$A,Annex!D291)</f>
        <v>0</v>
      </c>
      <c r="N291">
        <f>COUNTIFS(Grunnspill!$A:$A,Annex!E291)</f>
        <v>0</v>
      </c>
      <c r="O291">
        <f>COUNTIFS(Grunnspill!$A:$A,Annex!F291)</f>
        <v>0</v>
      </c>
      <c r="P291">
        <f>COUNTIFS(Grunnspill!$A:$A,Annex!G291)</f>
        <v>0</v>
      </c>
      <c r="Q291">
        <f>COUNTIFS(Grunnspill!$A:$A,Annex!H291)</f>
        <v>0</v>
      </c>
      <c r="R291">
        <f>COUNTIFS(Grunnspill!$A:$A,Annex!I291)</f>
        <v>0</v>
      </c>
    </row>
    <row r="292" spans="1:18" x14ac:dyDescent="0.2">
      <c r="A292">
        <v>289</v>
      </c>
      <c r="B292" s="1" t="s">
        <v>106</v>
      </c>
      <c r="C292" s="1" t="s">
        <v>103</v>
      </c>
      <c r="D292" s="1" t="s">
        <v>112</v>
      </c>
      <c r="E292" s="1" t="s">
        <v>105</v>
      </c>
      <c r="F292" s="1" t="s">
        <v>113</v>
      </c>
      <c r="G292" s="1" t="s">
        <v>107</v>
      </c>
      <c r="H292" s="1" t="s">
        <v>108</v>
      </c>
      <c r="I292" s="1" t="s">
        <v>109</v>
      </c>
      <c r="J292">
        <f t="shared" si="7"/>
        <v>0</v>
      </c>
      <c r="K292">
        <f>COUNTIFS(Grunnspill!$A:$A,Annex!B292)</f>
        <v>0</v>
      </c>
      <c r="L292">
        <f>COUNTIFS(Grunnspill!$A:$A,Annex!C292)</f>
        <v>0</v>
      </c>
      <c r="M292">
        <f>COUNTIFS(Grunnspill!$A:$A,Annex!D292)</f>
        <v>0</v>
      </c>
      <c r="N292">
        <f>COUNTIFS(Grunnspill!$A:$A,Annex!E292)</f>
        <v>0</v>
      </c>
      <c r="O292">
        <f>COUNTIFS(Grunnspill!$A:$A,Annex!F292)</f>
        <v>0</v>
      </c>
      <c r="P292">
        <f>COUNTIFS(Grunnspill!$A:$A,Annex!G292)</f>
        <v>0</v>
      </c>
      <c r="Q292">
        <f>COUNTIFS(Grunnspill!$A:$A,Annex!H292)</f>
        <v>0</v>
      </c>
      <c r="R292">
        <f>COUNTIFS(Grunnspill!$A:$A,Annex!I292)</f>
        <v>0</v>
      </c>
    </row>
    <row r="293" spans="1:18" x14ac:dyDescent="0.2">
      <c r="A293">
        <v>290</v>
      </c>
      <c r="B293" s="1" t="s">
        <v>106</v>
      </c>
      <c r="C293" s="1" t="s">
        <v>107</v>
      </c>
      <c r="D293" s="1" t="s">
        <v>112</v>
      </c>
      <c r="E293" s="1" t="s">
        <v>113</v>
      </c>
      <c r="F293" s="1" t="s">
        <v>104</v>
      </c>
      <c r="G293" s="1" t="s">
        <v>105</v>
      </c>
      <c r="H293" s="1" t="s">
        <v>108</v>
      </c>
      <c r="I293" s="1" t="s">
        <v>109</v>
      </c>
      <c r="J293">
        <f t="shared" si="7"/>
        <v>0</v>
      </c>
      <c r="K293">
        <f>COUNTIFS(Grunnspill!$A:$A,Annex!B293)</f>
        <v>0</v>
      </c>
      <c r="L293">
        <f>COUNTIFS(Grunnspill!$A:$A,Annex!C293)</f>
        <v>0</v>
      </c>
      <c r="M293">
        <f>COUNTIFS(Grunnspill!$A:$A,Annex!D293)</f>
        <v>0</v>
      </c>
      <c r="N293">
        <f>COUNTIFS(Grunnspill!$A:$A,Annex!E293)</f>
        <v>0</v>
      </c>
      <c r="O293">
        <f>COUNTIFS(Grunnspill!$A:$A,Annex!F293)</f>
        <v>0</v>
      </c>
      <c r="P293">
        <f>COUNTIFS(Grunnspill!$A:$A,Annex!G293)</f>
        <v>0</v>
      </c>
      <c r="Q293">
        <f>COUNTIFS(Grunnspill!$A:$A,Annex!H293)</f>
        <v>0</v>
      </c>
      <c r="R293">
        <f>COUNTIFS(Grunnspill!$A:$A,Annex!I293)</f>
        <v>0</v>
      </c>
    </row>
    <row r="294" spans="1:18" x14ac:dyDescent="0.2">
      <c r="A294">
        <v>291</v>
      </c>
      <c r="B294" s="1" t="s">
        <v>106</v>
      </c>
      <c r="C294" s="1" t="s">
        <v>103</v>
      </c>
      <c r="D294" s="1" t="s">
        <v>112</v>
      </c>
      <c r="E294" s="1" t="s">
        <v>105</v>
      </c>
      <c r="F294" s="1" t="s">
        <v>113</v>
      </c>
      <c r="G294" s="1" t="s">
        <v>107</v>
      </c>
      <c r="H294" s="1" t="s">
        <v>108</v>
      </c>
      <c r="I294" s="1" t="s">
        <v>104</v>
      </c>
      <c r="J294">
        <f t="shared" si="7"/>
        <v>0</v>
      </c>
      <c r="K294">
        <f>COUNTIFS(Grunnspill!$A:$A,Annex!B294)</f>
        <v>0</v>
      </c>
      <c r="L294">
        <f>COUNTIFS(Grunnspill!$A:$A,Annex!C294)</f>
        <v>0</v>
      </c>
      <c r="M294">
        <f>COUNTIFS(Grunnspill!$A:$A,Annex!D294)</f>
        <v>0</v>
      </c>
      <c r="N294">
        <f>COUNTIFS(Grunnspill!$A:$A,Annex!E294)</f>
        <v>0</v>
      </c>
      <c r="O294">
        <f>COUNTIFS(Grunnspill!$A:$A,Annex!F294)</f>
        <v>0</v>
      </c>
      <c r="P294">
        <f>COUNTIFS(Grunnspill!$A:$A,Annex!G294)</f>
        <v>0</v>
      </c>
      <c r="Q294">
        <f>COUNTIFS(Grunnspill!$A:$A,Annex!H294)</f>
        <v>0</v>
      </c>
      <c r="R294">
        <f>COUNTIFS(Grunnspill!$A:$A,Annex!I294)</f>
        <v>0</v>
      </c>
    </row>
    <row r="295" spans="1:18" x14ac:dyDescent="0.2">
      <c r="A295">
        <v>292</v>
      </c>
      <c r="B295" s="1" t="s">
        <v>106</v>
      </c>
      <c r="C295" s="1" t="s">
        <v>103</v>
      </c>
      <c r="D295" s="1" t="s">
        <v>112</v>
      </c>
      <c r="E295" s="1" t="s">
        <v>105</v>
      </c>
      <c r="F295" s="1" t="s">
        <v>113</v>
      </c>
      <c r="G295" s="1" t="s">
        <v>107</v>
      </c>
      <c r="H295" s="1" t="s">
        <v>104</v>
      </c>
      <c r="I295" s="1" t="s">
        <v>109</v>
      </c>
      <c r="J295">
        <f t="shared" si="7"/>
        <v>0</v>
      </c>
      <c r="K295">
        <f>COUNTIFS(Grunnspill!$A:$A,Annex!B295)</f>
        <v>0</v>
      </c>
      <c r="L295">
        <f>COUNTIFS(Grunnspill!$A:$A,Annex!C295)</f>
        <v>0</v>
      </c>
      <c r="M295">
        <f>COUNTIFS(Grunnspill!$A:$A,Annex!D295)</f>
        <v>0</v>
      </c>
      <c r="N295">
        <f>COUNTIFS(Grunnspill!$A:$A,Annex!E295)</f>
        <v>0</v>
      </c>
      <c r="O295">
        <f>COUNTIFS(Grunnspill!$A:$A,Annex!F295)</f>
        <v>0</v>
      </c>
      <c r="P295">
        <f>COUNTIFS(Grunnspill!$A:$A,Annex!G295)</f>
        <v>0</v>
      </c>
      <c r="Q295">
        <f>COUNTIFS(Grunnspill!$A:$A,Annex!H295)</f>
        <v>0</v>
      </c>
      <c r="R295">
        <f>COUNTIFS(Grunnspill!$A:$A,Annex!I295)</f>
        <v>0</v>
      </c>
    </row>
    <row r="296" spans="1:18" x14ac:dyDescent="0.2">
      <c r="A296">
        <v>293</v>
      </c>
      <c r="B296" s="1" t="s">
        <v>102</v>
      </c>
      <c r="C296" s="1" t="s">
        <v>103</v>
      </c>
      <c r="D296" s="1" t="s">
        <v>112</v>
      </c>
      <c r="E296" s="1" t="s">
        <v>113</v>
      </c>
      <c r="F296" s="1" t="s">
        <v>104</v>
      </c>
      <c r="G296" s="1" t="s">
        <v>106</v>
      </c>
      <c r="H296" s="1" t="s">
        <v>108</v>
      </c>
      <c r="I296" s="1" t="s">
        <v>109</v>
      </c>
      <c r="J296">
        <f t="shared" si="7"/>
        <v>0</v>
      </c>
      <c r="K296">
        <f>COUNTIFS(Grunnspill!$A:$A,Annex!B296)</f>
        <v>0</v>
      </c>
      <c r="L296">
        <f>COUNTIFS(Grunnspill!$A:$A,Annex!C296)</f>
        <v>0</v>
      </c>
      <c r="M296">
        <f>COUNTIFS(Grunnspill!$A:$A,Annex!D296)</f>
        <v>0</v>
      </c>
      <c r="N296">
        <f>COUNTIFS(Grunnspill!$A:$A,Annex!E296)</f>
        <v>0</v>
      </c>
      <c r="O296">
        <f>COUNTIFS(Grunnspill!$A:$A,Annex!F296)</f>
        <v>0</v>
      </c>
      <c r="P296">
        <f>COUNTIFS(Grunnspill!$A:$A,Annex!G296)</f>
        <v>0</v>
      </c>
      <c r="Q296">
        <f>COUNTIFS(Grunnspill!$A:$A,Annex!H296)</f>
        <v>0</v>
      </c>
      <c r="R296">
        <f>COUNTIFS(Grunnspill!$A:$A,Annex!I296)</f>
        <v>0</v>
      </c>
    </row>
    <row r="297" spans="1:18" x14ac:dyDescent="0.2">
      <c r="A297">
        <v>294</v>
      </c>
      <c r="B297" s="1" t="s">
        <v>102</v>
      </c>
      <c r="C297" s="1" t="s">
        <v>103</v>
      </c>
      <c r="D297" s="1" t="s">
        <v>112</v>
      </c>
      <c r="E297" s="1" t="s">
        <v>113</v>
      </c>
      <c r="F297" s="1" t="s">
        <v>104</v>
      </c>
      <c r="G297" s="1" t="s">
        <v>107</v>
      </c>
      <c r="H297" s="1" t="s">
        <v>108</v>
      </c>
      <c r="I297" s="1" t="s">
        <v>109</v>
      </c>
      <c r="J297">
        <f t="shared" si="7"/>
        <v>0</v>
      </c>
      <c r="K297">
        <f>COUNTIFS(Grunnspill!$A:$A,Annex!B297)</f>
        <v>0</v>
      </c>
      <c r="L297">
        <f>COUNTIFS(Grunnspill!$A:$A,Annex!C297)</f>
        <v>0</v>
      </c>
      <c r="M297">
        <f>COUNTIFS(Grunnspill!$A:$A,Annex!D297)</f>
        <v>0</v>
      </c>
      <c r="N297">
        <f>COUNTIFS(Grunnspill!$A:$A,Annex!E297)</f>
        <v>0</v>
      </c>
      <c r="O297">
        <f>COUNTIFS(Grunnspill!$A:$A,Annex!F297)</f>
        <v>0</v>
      </c>
      <c r="P297">
        <f>COUNTIFS(Grunnspill!$A:$A,Annex!G297)</f>
        <v>0</v>
      </c>
      <c r="Q297">
        <f>COUNTIFS(Grunnspill!$A:$A,Annex!H297)</f>
        <v>0</v>
      </c>
      <c r="R297">
        <f>COUNTIFS(Grunnspill!$A:$A,Annex!I297)</f>
        <v>0</v>
      </c>
    </row>
    <row r="298" spans="1:18" x14ac:dyDescent="0.2">
      <c r="A298">
        <v>295</v>
      </c>
      <c r="B298" s="1" t="s">
        <v>102</v>
      </c>
      <c r="C298" s="1" t="s">
        <v>103</v>
      </c>
      <c r="D298" s="1" t="s">
        <v>112</v>
      </c>
      <c r="E298" s="1" t="s">
        <v>113</v>
      </c>
      <c r="F298" s="1" t="s">
        <v>106</v>
      </c>
      <c r="G298" s="1" t="s">
        <v>107</v>
      </c>
      <c r="H298" s="1" t="s">
        <v>108</v>
      </c>
      <c r="I298" s="1" t="s">
        <v>109</v>
      </c>
      <c r="J298">
        <f t="shared" si="7"/>
        <v>0</v>
      </c>
      <c r="K298">
        <f>COUNTIFS(Grunnspill!$A:$A,Annex!B298)</f>
        <v>0</v>
      </c>
      <c r="L298">
        <f>COUNTIFS(Grunnspill!$A:$A,Annex!C298)</f>
        <v>0</v>
      </c>
      <c r="M298">
        <f>COUNTIFS(Grunnspill!$A:$A,Annex!D298)</f>
        <v>0</v>
      </c>
      <c r="N298">
        <f>COUNTIFS(Grunnspill!$A:$A,Annex!E298)</f>
        <v>0</v>
      </c>
      <c r="O298">
        <f>COUNTIFS(Grunnspill!$A:$A,Annex!F298)</f>
        <v>0</v>
      </c>
      <c r="P298">
        <f>COUNTIFS(Grunnspill!$A:$A,Annex!G298)</f>
        <v>0</v>
      </c>
      <c r="Q298">
        <f>COUNTIFS(Grunnspill!$A:$A,Annex!H298)</f>
        <v>0</v>
      </c>
      <c r="R298">
        <f>COUNTIFS(Grunnspill!$A:$A,Annex!I298)</f>
        <v>0</v>
      </c>
    </row>
    <row r="299" spans="1:18" x14ac:dyDescent="0.2">
      <c r="A299">
        <v>296</v>
      </c>
      <c r="B299" s="1" t="s">
        <v>102</v>
      </c>
      <c r="C299" s="1" t="s">
        <v>107</v>
      </c>
      <c r="D299" s="1" t="s">
        <v>112</v>
      </c>
      <c r="E299" s="1" t="s">
        <v>113</v>
      </c>
      <c r="F299" s="1" t="s">
        <v>104</v>
      </c>
      <c r="G299" s="1" t="s">
        <v>106</v>
      </c>
      <c r="H299" s="1" t="s">
        <v>108</v>
      </c>
      <c r="I299" s="1" t="s">
        <v>109</v>
      </c>
      <c r="J299">
        <f t="shared" si="7"/>
        <v>0</v>
      </c>
      <c r="K299">
        <f>COUNTIFS(Grunnspill!$A:$A,Annex!B299)</f>
        <v>0</v>
      </c>
      <c r="L299">
        <f>COUNTIFS(Grunnspill!$A:$A,Annex!C299)</f>
        <v>0</v>
      </c>
      <c r="M299">
        <f>COUNTIFS(Grunnspill!$A:$A,Annex!D299)</f>
        <v>0</v>
      </c>
      <c r="N299">
        <f>COUNTIFS(Grunnspill!$A:$A,Annex!E299)</f>
        <v>0</v>
      </c>
      <c r="O299">
        <f>COUNTIFS(Grunnspill!$A:$A,Annex!F299)</f>
        <v>0</v>
      </c>
      <c r="P299">
        <f>COUNTIFS(Grunnspill!$A:$A,Annex!G299)</f>
        <v>0</v>
      </c>
      <c r="Q299">
        <f>COUNTIFS(Grunnspill!$A:$A,Annex!H299)</f>
        <v>0</v>
      </c>
      <c r="R299">
        <f>COUNTIFS(Grunnspill!$A:$A,Annex!I299)</f>
        <v>0</v>
      </c>
    </row>
    <row r="300" spans="1:18" x14ac:dyDescent="0.2">
      <c r="A300">
        <v>297</v>
      </c>
      <c r="B300" s="1" t="s">
        <v>102</v>
      </c>
      <c r="C300" s="1" t="s">
        <v>103</v>
      </c>
      <c r="D300" s="1" t="s">
        <v>112</v>
      </c>
      <c r="E300" s="1" t="s">
        <v>113</v>
      </c>
      <c r="F300" s="1" t="s">
        <v>106</v>
      </c>
      <c r="G300" s="1" t="s">
        <v>107</v>
      </c>
      <c r="H300" s="1" t="s">
        <v>108</v>
      </c>
      <c r="I300" s="1" t="s">
        <v>104</v>
      </c>
      <c r="J300">
        <f t="shared" si="7"/>
        <v>0</v>
      </c>
      <c r="K300">
        <f>COUNTIFS(Grunnspill!$A:$A,Annex!B300)</f>
        <v>0</v>
      </c>
      <c r="L300">
        <f>COUNTIFS(Grunnspill!$A:$A,Annex!C300)</f>
        <v>0</v>
      </c>
      <c r="M300">
        <f>COUNTIFS(Grunnspill!$A:$A,Annex!D300)</f>
        <v>0</v>
      </c>
      <c r="N300">
        <f>COUNTIFS(Grunnspill!$A:$A,Annex!E300)</f>
        <v>0</v>
      </c>
      <c r="O300">
        <f>COUNTIFS(Grunnspill!$A:$A,Annex!F300)</f>
        <v>0</v>
      </c>
      <c r="P300">
        <f>COUNTIFS(Grunnspill!$A:$A,Annex!G300)</f>
        <v>0</v>
      </c>
      <c r="Q300">
        <f>COUNTIFS(Grunnspill!$A:$A,Annex!H300)</f>
        <v>0</v>
      </c>
      <c r="R300">
        <f>COUNTIFS(Grunnspill!$A:$A,Annex!I300)</f>
        <v>0</v>
      </c>
    </row>
    <row r="301" spans="1:18" x14ac:dyDescent="0.2">
      <c r="A301">
        <v>298</v>
      </c>
      <c r="B301" s="1" t="s">
        <v>102</v>
      </c>
      <c r="C301" s="1" t="s">
        <v>103</v>
      </c>
      <c r="D301" s="1" t="s">
        <v>112</v>
      </c>
      <c r="E301" s="1" t="s">
        <v>113</v>
      </c>
      <c r="F301" s="1" t="s">
        <v>106</v>
      </c>
      <c r="G301" s="1" t="s">
        <v>107</v>
      </c>
      <c r="H301" s="1" t="s">
        <v>104</v>
      </c>
      <c r="I301" s="1" t="s">
        <v>109</v>
      </c>
      <c r="J301">
        <f t="shared" si="7"/>
        <v>0</v>
      </c>
      <c r="K301">
        <f>COUNTIFS(Grunnspill!$A:$A,Annex!B301)</f>
        <v>0</v>
      </c>
      <c r="L301">
        <f>COUNTIFS(Grunnspill!$A:$A,Annex!C301)</f>
        <v>0</v>
      </c>
      <c r="M301">
        <f>COUNTIFS(Grunnspill!$A:$A,Annex!D301)</f>
        <v>0</v>
      </c>
      <c r="N301">
        <f>COUNTIFS(Grunnspill!$A:$A,Annex!E301)</f>
        <v>0</v>
      </c>
      <c r="O301">
        <f>COUNTIFS(Grunnspill!$A:$A,Annex!F301)</f>
        <v>0</v>
      </c>
      <c r="P301">
        <f>COUNTIFS(Grunnspill!$A:$A,Annex!G301)</f>
        <v>0</v>
      </c>
      <c r="Q301">
        <f>COUNTIFS(Grunnspill!$A:$A,Annex!H301)</f>
        <v>0</v>
      </c>
      <c r="R301">
        <f>COUNTIFS(Grunnspill!$A:$A,Annex!I301)</f>
        <v>0</v>
      </c>
    </row>
    <row r="302" spans="1:18" x14ac:dyDescent="0.2">
      <c r="A302">
        <v>299</v>
      </c>
      <c r="B302" s="1" t="s">
        <v>102</v>
      </c>
      <c r="C302" s="1" t="s">
        <v>103</v>
      </c>
      <c r="D302" s="1" t="s">
        <v>112</v>
      </c>
      <c r="E302" s="1" t="s">
        <v>113</v>
      </c>
      <c r="F302" s="1" t="s">
        <v>104</v>
      </c>
      <c r="G302" s="1" t="s">
        <v>105</v>
      </c>
      <c r="H302" s="1" t="s">
        <v>108</v>
      </c>
      <c r="I302" s="1" t="s">
        <v>109</v>
      </c>
      <c r="J302">
        <f t="shared" si="7"/>
        <v>0</v>
      </c>
      <c r="K302">
        <f>COUNTIFS(Grunnspill!$A:$A,Annex!B302)</f>
        <v>0</v>
      </c>
      <c r="L302">
        <f>COUNTIFS(Grunnspill!$A:$A,Annex!C302)</f>
        <v>0</v>
      </c>
      <c r="M302">
        <f>COUNTIFS(Grunnspill!$A:$A,Annex!D302)</f>
        <v>0</v>
      </c>
      <c r="N302">
        <f>COUNTIFS(Grunnspill!$A:$A,Annex!E302)</f>
        <v>0</v>
      </c>
      <c r="O302">
        <f>COUNTIFS(Grunnspill!$A:$A,Annex!F302)</f>
        <v>0</v>
      </c>
      <c r="P302">
        <f>COUNTIFS(Grunnspill!$A:$A,Annex!G302)</f>
        <v>0</v>
      </c>
      <c r="Q302">
        <f>COUNTIFS(Grunnspill!$A:$A,Annex!H302)</f>
        <v>0</v>
      </c>
      <c r="R302">
        <f>COUNTIFS(Grunnspill!$A:$A,Annex!I302)</f>
        <v>0</v>
      </c>
    </row>
    <row r="303" spans="1:18" x14ac:dyDescent="0.2">
      <c r="A303">
        <v>300</v>
      </c>
      <c r="B303" s="1" t="s">
        <v>102</v>
      </c>
      <c r="C303" s="1" t="s">
        <v>103</v>
      </c>
      <c r="D303" s="1" t="s">
        <v>112</v>
      </c>
      <c r="E303" s="1" t="s">
        <v>105</v>
      </c>
      <c r="F303" s="1" t="s">
        <v>113</v>
      </c>
      <c r="G303" s="1" t="s">
        <v>106</v>
      </c>
      <c r="H303" s="1" t="s">
        <v>108</v>
      </c>
      <c r="I303" s="1" t="s">
        <v>109</v>
      </c>
      <c r="J303">
        <f t="shared" si="7"/>
        <v>0</v>
      </c>
      <c r="K303">
        <f>COUNTIFS(Grunnspill!$A:$A,Annex!B303)</f>
        <v>0</v>
      </c>
      <c r="L303">
        <f>COUNTIFS(Grunnspill!$A:$A,Annex!C303)</f>
        <v>0</v>
      </c>
      <c r="M303">
        <f>COUNTIFS(Grunnspill!$A:$A,Annex!D303)</f>
        <v>0</v>
      </c>
      <c r="N303">
        <f>COUNTIFS(Grunnspill!$A:$A,Annex!E303)</f>
        <v>0</v>
      </c>
      <c r="O303">
        <f>COUNTIFS(Grunnspill!$A:$A,Annex!F303)</f>
        <v>0</v>
      </c>
      <c r="P303">
        <f>COUNTIFS(Grunnspill!$A:$A,Annex!G303)</f>
        <v>0</v>
      </c>
      <c r="Q303">
        <f>COUNTIFS(Grunnspill!$A:$A,Annex!H303)</f>
        <v>0</v>
      </c>
      <c r="R303">
        <f>COUNTIFS(Grunnspill!$A:$A,Annex!I303)</f>
        <v>0</v>
      </c>
    </row>
    <row r="304" spans="1:18" x14ac:dyDescent="0.2">
      <c r="A304">
        <v>301</v>
      </c>
      <c r="B304" s="1" t="s">
        <v>102</v>
      </c>
      <c r="C304" s="1" t="s">
        <v>104</v>
      </c>
      <c r="D304" s="1" t="s">
        <v>112</v>
      </c>
      <c r="E304" s="1" t="s">
        <v>105</v>
      </c>
      <c r="F304" s="1" t="s">
        <v>113</v>
      </c>
      <c r="G304" s="1" t="s">
        <v>106</v>
      </c>
      <c r="H304" s="1" t="s">
        <v>108</v>
      </c>
      <c r="I304" s="1" t="s">
        <v>109</v>
      </c>
      <c r="J304">
        <f t="shared" si="7"/>
        <v>0</v>
      </c>
      <c r="K304">
        <f>COUNTIFS(Grunnspill!$A:$A,Annex!B304)</f>
        <v>0</v>
      </c>
      <c r="L304">
        <f>COUNTIFS(Grunnspill!$A:$A,Annex!C304)</f>
        <v>0</v>
      </c>
      <c r="M304">
        <f>COUNTIFS(Grunnspill!$A:$A,Annex!D304)</f>
        <v>0</v>
      </c>
      <c r="N304">
        <f>COUNTIFS(Grunnspill!$A:$A,Annex!E304)</f>
        <v>0</v>
      </c>
      <c r="O304">
        <f>COUNTIFS(Grunnspill!$A:$A,Annex!F304)</f>
        <v>0</v>
      </c>
      <c r="P304">
        <f>COUNTIFS(Grunnspill!$A:$A,Annex!G304)</f>
        <v>0</v>
      </c>
      <c r="Q304">
        <f>COUNTIFS(Grunnspill!$A:$A,Annex!H304)</f>
        <v>0</v>
      </c>
      <c r="R304">
        <f>COUNTIFS(Grunnspill!$A:$A,Annex!I304)</f>
        <v>0</v>
      </c>
    </row>
    <row r="305" spans="1:18" x14ac:dyDescent="0.2">
      <c r="A305">
        <v>302</v>
      </c>
      <c r="B305" s="1" t="s">
        <v>102</v>
      </c>
      <c r="C305" s="1" t="s">
        <v>103</v>
      </c>
      <c r="D305" s="1" t="s">
        <v>112</v>
      </c>
      <c r="E305" s="1" t="s">
        <v>105</v>
      </c>
      <c r="F305" s="1" t="s">
        <v>113</v>
      </c>
      <c r="G305" s="1" t="s">
        <v>106</v>
      </c>
      <c r="H305" s="1" t="s">
        <v>108</v>
      </c>
      <c r="I305" s="1" t="s">
        <v>104</v>
      </c>
      <c r="J305">
        <f t="shared" si="7"/>
        <v>0</v>
      </c>
      <c r="K305">
        <f>COUNTIFS(Grunnspill!$A:$A,Annex!B305)</f>
        <v>0</v>
      </c>
      <c r="L305">
        <f>COUNTIFS(Grunnspill!$A:$A,Annex!C305)</f>
        <v>0</v>
      </c>
      <c r="M305">
        <f>COUNTIFS(Grunnspill!$A:$A,Annex!D305)</f>
        <v>0</v>
      </c>
      <c r="N305">
        <f>COUNTIFS(Grunnspill!$A:$A,Annex!E305)</f>
        <v>0</v>
      </c>
      <c r="O305">
        <f>COUNTIFS(Grunnspill!$A:$A,Annex!F305)</f>
        <v>0</v>
      </c>
      <c r="P305">
        <f>COUNTIFS(Grunnspill!$A:$A,Annex!G305)</f>
        <v>0</v>
      </c>
      <c r="Q305">
        <f>COUNTIFS(Grunnspill!$A:$A,Annex!H305)</f>
        <v>0</v>
      </c>
      <c r="R305">
        <f>COUNTIFS(Grunnspill!$A:$A,Annex!I305)</f>
        <v>0</v>
      </c>
    </row>
    <row r="306" spans="1:18" x14ac:dyDescent="0.2">
      <c r="A306">
        <v>303</v>
      </c>
      <c r="B306" s="1" t="s">
        <v>102</v>
      </c>
      <c r="C306" s="1" t="s">
        <v>103</v>
      </c>
      <c r="D306" s="1" t="s">
        <v>112</v>
      </c>
      <c r="E306" s="1" t="s">
        <v>105</v>
      </c>
      <c r="F306" s="1" t="s">
        <v>113</v>
      </c>
      <c r="G306" s="1" t="s">
        <v>106</v>
      </c>
      <c r="H306" s="1" t="s">
        <v>104</v>
      </c>
      <c r="I306" s="1" t="s">
        <v>109</v>
      </c>
      <c r="J306">
        <f t="shared" si="7"/>
        <v>0</v>
      </c>
      <c r="K306">
        <f>COUNTIFS(Grunnspill!$A:$A,Annex!B306)</f>
        <v>0</v>
      </c>
      <c r="L306">
        <f>COUNTIFS(Grunnspill!$A:$A,Annex!C306)</f>
        <v>0</v>
      </c>
      <c r="M306">
        <f>COUNTIFS(Grunnspill!$A:$A,Annex!D306)</f>
        <v>0</v>
      </c>
      <c r="N306">
        <f>COUNTIFS(Grunnspill!$A:$A,Annex!E306)</f>
        <v>0</v>
      </c>
      <c r="O306">
        <f>COUNTIFS(Grunnspill!$A:$A,Annex!F306)</f>
        <v>0</v>
      </c>
      <c r="P306">
        <f>COUNTIFS(Grunnspill!$A:$A,Annex!G306)</f>
        <v>0</v>
      </c>
      <c r="Q306">
        <f>COUNTIFS(Grunnspill!$A:$A,Annex!H306)</f>
        <v>0</v>
      </c>
      <c r="R306">
        <f>COUNTIFS(Grunnspill!$A:$A,Annex!I306)</f>
        <v>0</v>
      </c>
    </row>
    <row r="307" spans="1:18" x14ac:dyDescent="0.2">
      <c r="A307">
        <v>304</v>
      </c>
      <c r="B307" s="1" t="s">
        <v>102</v>
      </c>
      <c r="C307" s="1" t="s">
        <v>103</v>
      </c>
      <c r="D307" s="1" t="s">
        <v>112</v>
      </c>
      <c r="E307" s="1" t="s">
        <v>105</v>
      </c>
      <c r="F307" s="1" t="s">
        <v>113</v>
      </c>
      <c r="G307" s="1" t="s">
        <v>107</v>
      </c>
      <c r="H307" s="1" t="s">
        <v>108</v>
      </c>
      <c r="I307" s="1" t="s">
        <v>109</v>
      </c>
      <c r="J307">
        <f t="shared" si="7"/>
        <v>0</v>
      </c>
      <c r="K307">
        <f>COUNTIFS(Grunnspill!$A:$A,Annex!B307)</f>
        <v>0</v>
      </c>
      <c r="L307">
        <f>COUNTIFS(Grunnspill!$A:$A,Annex!C307)</f>
        <v>0</v>
      </c>
      <c r="M307">
        <f>COUNTIFS(Grunnspill!$A:$A,Annex!D307)</f>
        <v>0</v>
      </c>
      <c r="N307">
        <f>COUNTIFS(Grunnspill!$A:$A,Annex!E307)</f>
        <v>0</v>
      </c>
      <c r="O307">
        <f>COUNTIFS(Grunnspill!$A:$A,Annex!F307)</f>
        <v>0</v>
      </c>
      <c r="P307">
        <f>COUNTIFS(Grunnspill!$A:$A,Annex!G307)</f>
        <v>0</v>
      </c>
      <c r="Q307">
        <f>COUNTIFS(Grunnspill!$A:$A,Annex!H307)</f>
        <v>0</v>
      </c>
      <c r="R307">
        <f>COUNTIFS(Grunnspill!$A:$A,Annex!I307)</f>
        <v>0</v>
      </c>
    </row>
    <row r="308" spans="1:18" x14ac:dyDescent="0.2">
      <c r="A308">
        <v>305</v>
      </c>
      <c r="B308" s="1" t="s">
        <v>102</v>
      </c>
      <c r="C308" s="1" t="s">
        <v>107</v>
      </c>
      <c r="D308" s="1" t="s">
        <v>112</v>
      </c>
      <c r="E308" s="1" t="s">
        <v>113</v>
      </c>
      <c r="F308" s="1" t="s">
        <v>104</v>
      </c>
      <c r="G308" s="1" t="s">
        <v>105</v>
      </c>
      <c r="H308" s="1" t="s">
        <v>108</v>
      </c>
      <c r="I308" s="1" t="s">
        <v>109</v>
      </c>
      <c r="J308">
        <f t="shared" si="7"/>
        <v>0</v>
      </c>
      <c r="K308">
        <f>COUNTIFS(Grunnspill!$A:$A,Annex!B308)</f>
        <v>0</v>
      </c>
      <c r="L308">
        <f>COUNTIFS(Grunnspill!$A:$A,Annex!C308)</f>
        <v>0</v>
      </c>
      <c r="M308">
        <f>COUNTIFS(Grunnspill!$A:$A,Annex!D308)</f>
        <v>0</v>
      </c>
      <c r="N308">
        <f>COUNTIFS(Grunnspill!$A:$A,Annex!E308)</f>
        <v>0</v>
      </c>
      <c r="O308">
        <f>COUNTIFS(Grunnspill!$A:$A,Annex!F308)</f>
        <v>0</v>
      </c>
      <c r="P308">
        <f>COUNTIFS(Grunnspill!$A:$A,Annex!G308)</f>
        <v>0</v>
      </c>
      <c r="Q308">
        <f>COUNTIFS(Grunnspill!$A:$A,Annex!H308)</f>
        <v>0</v>
      </c>
      <c r="R308">
        <f>COUNTIFS(Grunnspill!$A:$A,Annex!I308)</f>
        <v>0</v>
      </c>
    </row>
    <row r="309" spans="1:18" x14ac:dyDescent="0.2">
      <c r="A309">
        <v>306</v>
      </c>
      <c r="B309" s="1" t="s">
        <v>102</v>
      </c>
      <c r="C309" s="1" t="s">
        <v>103</v>
      </c>
      <c r="D309" s="1" t="s">
        <v>112</v>
      </c>
      <c r="E309" s="1" t="s">
        <v>105</v>
      </c>
      <c r="F309" s="1" t="s">
        <v>113</v>
      </c>
      <c r="G309" s="1" t="s">
        <v>107</v>
      </c>
      <c r="H309" s="1" t="s">
        <v>108</v>
      </c>
      <c r="I309" s="1" t="s">
        <v>104</v>
      </c>
      <c r="J309">
        <f t="shared" si="7"/>
        <v>0</v>
      </c>
      <c r="K309">
        <f>COUNTIFS(Grunnspill!$A:$A,Annex!B309)</f>
        <v>0</v>
      </c>
      <c r="L309">
        <f>COUNTIFS(Grunnspill!$A:$A,Annex!C309)</f>
        <v>0</v>
      </c>
      <c r="M309">
        <f>COUNTIFS(Grunnspill!$A:$A,Annex!D309)</f>
        <v>0</v>
      </c>
      <c r="N309">
        <f>COUNTIFS(Grunnspill!$A:$A,Annex!E309)</f>
        <v>0</v>
      </c>
      <c r="O309">
        <f>COUNTIFS(Grunnspill!$A:$A,Annex!F309)</f>
        <v>0</v>
      </c>
      <c r="P309">
        <f>COUNTIFS(Grunnspill!$A:$A,Annex!G309)</f>
        <v>0</v>
      </c>
      <c r="Q309">
        <f>COUNTIFS(Grunnspill!$A:$A,Annex!H309)</f>
        <v>0</v>
      </c>
      <c r="R309">
        <f>COUNTIFS(Grunnspill!$A:$A,Annex!I309)</f>
        <v>0</v>
      </c>
    </row>
    <row r="310" spans="1:18" x14ac:dyDescent="0.2">
      <c r="A310">
        <v>307</v>
      </c>
      <c r="B310" s="1" t="s">
        <v>102</v>
      </c>
      <c r="C310" s="1" t="s">
        <v>103</v>
      </c>
      <c r="D310" s="1" t="s">
        <v>112</v>
      </c>
      <c r="E310" s="1" t="s">
        <v>105</v>
      </c>
      <c r="F310" s="1" t="s">
        <v>113</v>
      </c>
      <c r="G310" s="1" t="s">
        <v>107</v>
      </c>
      <c r="H310" s="1" t="s">
        <v>104</v>
      </c>
      <c r="I310" s="1" t="s">
        <v>109</v>
      </c>
      <c r="J310">
        <f t="shared" si="7"/>
        <v>0</v>
      </c>
      <c r="K310">
        <f>COUNTIFS(Grunnspill!$A:$A,Annex!B310)</f>
        <v>0</v>
      </c>
      <c r="L310">
        <f>COUNTIFS(Grunnspill!$A:$A,Annex!C310)</f>
        <v>0</v>
      </c>
      <c r="M310">
        <f>COUNTIFS(Grunnspill!$A:$A,Annex!D310)</f>
        <v>0</v>
      </c>
      <c r="N310">
        <f>COUNTIFS(Grunnspill!$A:$A,Annex!E310)</f>
        <v>0</v>
      </c>
      <c r="O310">
        <f>COUNTIFS(Grunnspill!$A:$A,Annex!F310)</f>
        <v>0</v>
      </c>
      <c r="P310">
        <f>COUNTIFS(Grunnspill!$A:$A,Annex!G310)</f>
        <v>0</v>
      </c>
      <c r="Q310">
        <f>COUNTIFS(Grunnspill!$A:$A,Annex!H310)</f>
        <v>0</v>
      </c>
      <c r="R310">
        <f>COUNTIFS(Grunnspill!$A:$A,Annex!I310)</f>
        <v>0</v>
      </c>
    </row>
    <row r="311" spans="1:18" x14ac:dyDescent="0.2">
      <c r="A311">
        <v>308</v>
      </c>
      <c r="B311" s="1" t="s">
        <v>102</v>
      </c>
      <c r="C311" s="1" t="s">
        <v>107</v>
      </c>
      <c r="D311" s="1" t="s">
        <v>112</v>
      </c>
      <c r="E311" s="1" t="s">
        <v>105</v>
      </c>
      <c r="F311" s="1" t="s">
        <v>113</v>
      </c>
      <c r="G311" s="1" t="s">
        <v>106</v>
      </c>
      <c r="H311" s="1" t="s">
        <v>108</v>
      </c>
      <c r="I311" s="1" t="s">
        <v>109</v>
      </c>
      <c r="J311">
        <f t="shared" si="7"/>
        <v>0</v>
      </c>
      <c r="K311">
        <f>COUNTIFS(Grunnspill!$A:$A,Annex!B311)</f>
        <v>0</v>
      </c>
      <c r="L311">
        <f>COUNTIFS(Grunnspill!$A:$A,Annex!C311)</f>
        <v>0</v>
      </c>
      <c r="M311">
        <f>COUNTIFS(Grunnspill!$A:$A,Annex!D311)</f>
        <v>0</v>
      </c>
      <c r="N311">
        <f>COUNTIFS(Grunnspill!$A:$A,Annex!E311)</f>
        <v>0</v>
      </c>
      <c r="O311">
        <f>COUNTIFS(Grunnspill!$A:$A,Annex!F311)</f>
        <v>0</v>
      </c>
      <c r="P311">
        <f>COUNTIFS(Grunnspill!$A:$A,Annex!G311)</f>
        <v>0</v>
      </c>
      <c r="Q311">
        <f>COUNTIFS(Grunnspill!$A:$A,Annex!H311)</f>
        <v>0</v>
      </c>
      <c r="R311">
        <f>COUNTIFS(Grunnspill!$A:$A,Annex!I311)</f>
        <v>0</v>
      </c>
    </row>
    <row r="312" spans="1:18" x14ac:dyDescent="0.2">
      <c r="A312">
        <v>309</v>
      </c>
      <c r="B312" s="1" t="s">
        <v>106</v>
      </c>
      <c r="C312" s="1" t="s">
        <v>103</v>
      </c>
      <c r="D312" s="1" t="s">
        <v>112</v>
      </c>
      <c r="E312" s="1" t="s">
        <v>105</v>
      </c>
      <c r="F312" s="1" t="s">
        <v>113</v>
      </c>
      <c r="G312" s="1" t="s">
        <v>107</v>
      </c>
      <c r="H312" s="1" t="s">
        <v>108</v>
      </c>
      <c r="I312" s="1" t="s">
        <v>102</v>
      </c>
      <c r="J312">
        <f t="shared" si="7"/>
        <v>0</v>
      </c>
      <c r="K312">
        <f>COUNTIFS(Grunnspill!$A:$A,Annex!B312)</f>
        <v>0</v>
      </c>
      <c r="L312">
        <f>COUNTIFS(Grunnspill!$A:$A,Annex!C312)</f>
        <v>0</v>
      </c>
      <c r="M312">
        <f>COUNTIFS(Grunnspill!$A:$A,Annex!D312)</f>
        <v>0</v>
      </c>
      <c r="N312">
        <f>COUNTIFS(Grunnspill!$A:$A,Annex!E312)</f>
        <v>0</v>
      </c>
      <c r="O312">
        <f>COUNTIFS(Grunnspill!$A:$A,Annex!F312)</f>
        <v>0</v>
      </c>
      <c r="P312">
        <f>COUNTIFS(Grunnspill!$A:$A,Annex!G312)</f>
        <v>0</v>
      </c>
      <c r="Q312">
        <f>COUNTIFS(Grunnspill!$A:$A,Annex!H312)</f>
        <v>0</v>
      </c>
      <c r="R312">
        <f>COUNTIFS(Grunnspill!$A:$A,Annex!I312)</f>
        <v>0</v>
      </c>
    </row>
    <row r="313" spans="1:18" x14ac:dyDescent="0.2">
      <c r="A313">
        <v>310</v>
      </c>
      <c r="B313" s="1" t="s">
        <v>106</v>
      </c>
      <c r="C313" s="1" t="s">
        <v>103</v>
      </c>
      <c r="D313" s="1" t="s">
        <v>112</v>
      </c>
      <c r="E313" s="1" t="s">
        <v>105</v>
      </c>
      <c r="F313" s="1" t="s">
        <v>113</v>
      </c>
      <c r="G313" s="1" t="s">
        <v>107</v>
      </c>
      <c r="H313" s="1" t="s">
        <v>102</v>
      </c>
      <c r="I313" s="1" t="s">
        <v>109</v>
      </c>
      <c r="J313">
        <f t="shared" si="7"/>
        <v>0</v>
      </c>
      <c r="K313">
        <f>COUNTIFS(Grunnspill!$A:$A,Annex!B313)</f>
        <v>0</v>
      </c>
      <c r="L313">
        <f>COUNTIFS(Grunnspill!$A:$A,Annex!C313)</f>
        <v>0</v>
      </c>
      <c r="M313">
        <f>COUNTIFS(Grunnspill!$A:$A,Annex!D313)</f>
        <v>0</v>
      </c>
      <c r="N313">
        <f>COUNTIFS(Grunnspill!$A:$A,Annex!E313)</f>
        <v>0</v>
      </c>
      <c r="O313">
        <f>COUNTIFS(Grunnspill!$A:$A,Annex!F313)</f>
        <v>0</v>
      </c>
      <c r="P313">
        <f>COUNTIFS(Grunnspill!$A:$A,Annex!G313)</f>
        <v>0</v>
      </c>
      <c r="Q313">
        <f>COUNTIFS(Grunnspill!$A:$A,Annex!H313)</f>
        <v>0</v>
      </c>
      <c r="R313">
        <f>COUNTIFS(Grunnspill!$A:$A,Annex!I313)</f>
        <v>0</v>
      </c>
    </row>
    <row r="314" spans="1:18" x14ac:dyDescent="0.2">
      <c r="A314">
        <v>311</v>
      </c>
      <c r="B314" s="1" t="s">
        <v>102</v>
      </c>
      <c r="C314" s="1" t="s">
        <v>107</v>
      </c>
      <c r="D314" s="1" t="s">
        <v>112</v>
      </c>
      <c r="E314" s="1" t="s">
        <v>105</v>
      </c>
      <c r="F314" s="1" t="s">
        <v>113</v>
      </c>
      <c r="G314" s="1" t="s">
        <v>106</v>
      </c>
      <c r="H314" s="1" t="s">
        <v>108</v>
      </c>
      <c r="I314" s="1" t="s">
        <v>104</v>
      </c>
      <c r="J314">
        <f t="shared" si="7"/>
        <v>0</v>
      </c>
      <c r="K314">
        <f>COUNTIFS(Grunnspill!$A:$A,Annex!B314)</f>
        <v>0</v>
      </c>
      <c r="L314">
        <f>COUNTIFS(Grunnspill!$A:$A,Annex!C314)</f>
        <v>0</v>
      </c>
      <c r="M314">
        <f>COUNTIFS(Grunnspill!$A:$A,Annex!D314)</f>
        <v>0</v>
      </c>
      <c r="N314">
        <f>COUNTIFS(Grunnspill!$A:$A,Annex!E314)</f>
        <v>0</v>
      </c>
      <c r="O314">
        <f>COUNTIFS(Grunnspill!$A:$A,Annex!F314)</f>
        <v>0</v>
      </c>
      <c r="P314">
        <f>COUNTIFS(Grunnspill!$A:$A,Annex!G314)</f>
        <v>0</v>
      </c>
      <c r="Q314">
        <f>COUNTIFS(Grunnspill!$A:$A,Annex!H314)</f>
        <v>0</v>
      </c>
      <c r="R314">
        <f>COUNTIFS(Grunnspill!$A:$A,Annex!I314)</f>
        <v>0</v>
      </c>
    </row>
    <row r="315" spans="1:18" x14ac:dyDescent="0.2">
      <c r="A315">
        <v>312</v>
      </c>
      <c r="B315" s="1" t="s">
        <v>102</v>
      </c>
      <c r="C315" s="1" t="s">
        <v>107</v>
      </c>
      <c r="D315" s="1" t="s">
        <v>112</v>
      </c>
      <c r="E315" s="1" t="s">
        <v>105</v>
      </c>
      <c r="F315" s="1" t="s">
        <v>113</v>
      </c>
      <c r="G315" s="1" t="s">
        <v>106</v>
      </c>
      <c r="H315" s="1" t="s">
        <v>104</v>
      </c>
      <c r="I315" s="1" t="s">
        <v>109</v>
      </c>
      <c r="J315">
        <f t="shared" si="7"/>
        <v>0</v>
      </c>
      <c r="K315">
        <f>COUNTIFS(Grunnspill!$A:$A,Annex!B315)</f>
        <v>0</v>
      </c>
      <c r="L315">
        <f>COUNTIFS(Grunnspill!$A:$A,Annex!C315)</f>
        <v>0</v>
      </c>
      <c r="M315">
        <f>COUNTIFS(Grunnspill!$A:$A,Annex!D315)</f>
        <v>0</v>
      </c>
      <c r="N315">
        <f>COUNTIFS(Grunnspill!$A:$A,Annex!E315)</f>
        <v>0</v>
      </c>
      <c r="O315">
        <f>COUNTIFS(Grunnspill!$A:$A,Annex!F315)</f>
        <v>0</v>
      </c>
      <c r="P315">
        <f>COUNTIFS(Grunnspill!$A:$A,Annex!G315)</f>
        <v>0</v>
      </c>
      <c r="Q315">
        <f>COUNTIFS(Grunnspill!$A:$A,Annex!H315)</f>
        <v>0</v>
      </c>
      <c r="R315">
        <f>COUNTIFS(Grunnspill!$A:$A,Annex!I315)</f>
        <v>0</v>
      </c>
    </row>
    <row r="316" spans="1:18" x14ac:dyDescent="0.2">
      <c r="A316">
        <v>313</v>
      </c>
      <c r="B316" s="1" t="s">
        <v>106</v>
      </c>
      <c r="C316" s="1" t="s">
        <v>103</v>
      </c>
      <c r="D316" s="1" t="s">
        <v>112</v>
      </c>
      <c r="E316" s="1" t="s">
        <v>105</v>
      </c>
      <c r="F316" s="1" t="s">
        <v>113</v>
      </c>
      <c r="G316" s="1" t="s">
        <v>107</v>
      </c>
      <c r="H316" s="1" t="s">
        <v>102</v>
      </c>
      <c r="I316" s="1" t="s">
        <v>104</v>
      </c>
      <c r="J316">
        <f t="shared" si="7"/>
        <v>0</v>
      </c>
      <c r="K316">
        <f>COUNTIFS(Grunnspill!$A:$A,Annex!B316)</f>
        <v>0</v>
      </c>
      <c r="L316">
        <f>COUNTIFS(Grunnspill!$A:$A,Annex!C316)</f>
        <v>0</v>
      </c>
      <c r="M316">
        <f>COUNTIFS(Grunnspill!$A:$A,Annex!D316)</f>
        <v>0</v>
      </c>
      <c r="N316">
        <f>COUNTIFS(Grunnspill!$A:$A,Annex!E316)</f>
        <v>0</v>
      </c>
      <c r="O316">
        <f>COUNTIFS(Grunnspill!$A:$A,Annex!F316)</f>
        <v>0</v>
      </c>
      <c r="P316">
        <f>COUNTIFS(Grunnspill!$A:$A,Annex!G316)</f>
        <v>0</v>
      </c>
      <c r="Q316">
        <f>COUNTIFS(Grunnspill!$A:$A,Annex!H316)</f>
        <v>0</v>
      </c>
      <c r="R316">
        <f>COUNTIFS(Grunnspill!$A:$A,Annex!I316)</f>
        <v>0</v>
      </c>
    </row>
    <row r="317" spans="1:18" x14ac:dyDescent="0.2">
      <c r="A317">
        <v>314</v>
      </c>
      <c r="B317" s="1" t="s">
        <v>104</v>
      </c>
      <c r="C317" s="1" t="s">
        <v>103</v>
      </c>
      <c r="D317" s="1" t="s">
        <v>112</v>
      </c>
      <c r="E317" s="1" t="s">
        <v>110</v>
      </c>
      <c r="F317" s="1" t="s">
        <v>113</v>
      </c>
      <c r="G317" s="1" t="s">
        <v>106</v>
      </c>
      <c r="H317" s="1" t="s">
        <v>108</v>
      </c>
      <c r="I317" s="1" t="s">
        <v>109</v>
      </c>
      <c r="J317">
        <f t="shared" si="7"/>
        <v>0</v>
      </c>
      <c r="K317">
        <f>COUNTIFS(Grunnspill!$A:$A,Annex!B317)</f>
        <v>0</v>
      </c>
      <c r="L317">
        <f>COUNTIFS(Grunnspill!$A:$A,Annex!C317)</f>
        <v>0</v>
      </c>
      <c r="M317">
        <f>COUNTIFS(Grunnspill!$A:$A,Annex!D317)</f>
        <v>0</v>
      </c>
      <c r="N317">
        <f>COUNTIFS(Grunnspill!$A:$A,Annex!E317)</f>
        <v>0</v>
      </c>
      <c r="O317">
        <f>COUNTIFS(Grunnspill!$A:$A,Annex!F317)</f>
        <v>0</v>
      </c>
      <c r="P317">
        <f>COUNTIFS(Grunnspill!$A:$A,Annex!G317)</f>
        <v>0</v>
      </c>
      <c r="Q317">
        <f>COUNTIFS(Grunnspill!$A:$A,Annex!H317)</f>
        <v>0</v>
      </c>
      <c r="R317">
        <f>COUNTIFS(Grunnspill!$A:$A,Annex!I317)</f>
        <v>0</v>
      </c>
    </row>
    <row r="318" spans="1:18" x14ac:dyDescent="0.2">
      <c r="A318">
        <v>315</v>
      </c>
      <c r="B318" s="1" t="s">
        <v>104</v>
      </c>
      <c r="C318" s="1" t="s">
        <v>103</v>
      </c>
      <c r="D318" s="1" t="s">
        <v>112</v>
      </c>
      <c r="E318" s="1" t="s">
        <v>110</v>
      </c>
      <c r="F318" s="1" t="s">
        <v>113</v>
      </c>
      <c r="G318" s="1" t="s">
        <v>107</v>
      </c>
      <c r="H318" s="1" t="s">
        <v>108</v>
      </c>
      <c r="I318" s="1" t="s">
        <v>109</v>
      </c>
      <c r="J318">
        <f t="shared" si="7"/>
        <v>0</v>
      </c>
      <c r="K318">
        <f>COUNTIFS(Grunnspill!$A:$A,Annex!B318)</f>
        <v>0</v>
      </c>
      <c r="L318">
        <f>COUNTIFS(Grunnspill!$A:$A,Annex!C318)</f>
        <v>0</v>
      </c>
      <c r="M318">
        <f>COUNTIFS(Grunnspill!$A:$A,Annex!D318)</f>
        <v>0</v>
      </c>
      <c r="N318">
        <f>COUNTIFS(Grunnspill!$A:$A,Annex!E318)</f>
        <v>0</v>
      </c>
      <c r="O318">
        <f>COUNTIFS(Grunnspill!$A:$A,Annex!F318)</f>
        <v>0</v>
      </c>
      <c r="P318">
        <f>COUNTIFS(Grunnspill!$A:$A,Annex!G318)</f>
        <v>0</v>
      </c>
      <c r="Q318">
        <f>COUNTIFS(Grunnspill!$A:$A,Annex!H318)</f>
        <v>0</v>
      </c>
      <c r="R318">
        <f>COUNTIFS(Grunnspill!$A:$A,Annex!I318)</f>
        <v>0</v>
      </c>
    </row>
    <row r="319" spans="1:18" x14ac:dyDescent="0.2">
      <c r="A319">
        <v>316</v>
      </c>
      <c r="B319" s="1" t="s">
        <v>106</v>
      </c>
      <c r="C319" s="1" t="s">
        <v>103</v>
      </c>
      <c r="D319" s="1" t="s">
        <v>112</v>
      </c>
      <c r="E319" s="1" t="s">
        <v>110</v>
      </c>
      <c r="F319" s="1" t="s">
        <v>113</v>
      </c>
      <c r="G319" s="1" t="s">
        <v>107</v>
      </c>
      <c r="H319" s="1" t="s">
        <v>108</v>
      </c>
      <c r="I319" s="1" t="s">
        <v>109</v>
      </c>
      <c r="J319">
        <f t="shared" si="7"/>
        <v>0</v>
      </c>
      <c r="K319">
        <f>COUNTIFS(Grunnspill!$A:$A,Annex!B319)</f>
        <v>0</v>
      </c>
      <c r="L319">
        <f>COUNTIFS(Grunnspill!$A:$A,Annex!C319)</f>
        <v>0</v>
      </c>
      <c r="M319">
        <f>COUNTIFS(Grunnspill!$A:$A,Annex!D319)</f>
        <v>0</v>
      </c>
      <c r="N319">
        <f>COUNTIFS(Grunnspill!$A:$A,Annex!E319)</f>
        <v>0</v>
      </c>
      <c r="O319">
        <f>COUNTIFS(Grunnspill!$A:$A,Annex!F319)</f>
        <v>0</v>
      </c>
      <c r="P319">
        <f>COUNTIFS(Grunnspill!$A:$A,Annex!G319)</f>
        <v>0</v>
      </c>
      <c r="Q319">
        <f>COUNTIFS(Grunnspill!$A:$A,Annex!H319)</f>
        <v>0</v>
      </c>
      <c r="R319">
        <f>COUNTIFS(Grunnspill!$A:$A,Annex!I319)</f>
        <v>0</v>
      </c>
    </row>
    <row r="320" spans="1:18" x14ac:dyDescent="0.2">
      <c r="A320">
        <v>317</v>
      </c>
      <c r="B320" s="1" t="s">
        <v>104</v>
      </c>
      <c r="C320" s="1" t="s">
        <v>107</v>
      </c>
      <c r="D320" s="1" t="s">
        <v>112</v>
      </c>
      <c r="E320" s="1" t="s">
        <v>110</v>
      </c>
      <c r="F320" s="1" t="s">
        <v>113</v>
      </c>
      <c r="G320" s="1" t="s">
        <v>106</v>
      </c>
      <c r="H320" s="1" t="s">
        <v>108</v>
      </c>
      <c r="I320" s="1" t="s">
        <v>109</v>
      </c>
      <c r="J320">
        <f t="shared" si="7"/>
        <v>0</v>
      </c>
      <c r="K320">
        <f>COUNTIFS(Grunnspill!$A:$A,Annex!B320)</f>
        <v>0</v>
      </c>
      <c r="L320">
        <f>COUNTIFS(Grunnspill!$A:$A,Annex!C320)</f>
        <v>0</v>
      </c>
      <c r="M320">
        <f>COUNTIFS(Grunnspill!$A:$A,Annex!D320)</f>
        <v>0</v>
      </c>
      <c r="N320">
        <f>COUNTIFS(Grunnspill!$A:$A,Annex!E320)</f>
        <v>0</v>
      </c>
      <c r="O320">
        <f>COUNTIFS(Grunnspill!$A:$A,Annex!F320)</f>
        <v>0</v>
      </c>
      <c r="P320">
        <f>COUNTIFS(Grunnspill!$A:$A,Annex!G320)</f>
        <v>0</v>
      </c>
      <c r="Q320">
        <f>COUNTIFS(Grunnspill!$A:$A,Annex!H320)</f>
        <v>0</v>
      </c>
      <c r="R320">
        <f>COUNTIFS(Grunnspill!$A:$A,Annex!I320)</f>
        <v>0</v>
      </c>
    </row>
    <row r="321" spans="1:18" x14ac:dyDescent="0.2">
      <c r="A321">
        <v>318</v>
      </c>
      <c r="B321" s="1" t="s">
        <v>106</v>
      </c>
      <c r="C321" s="1" t="s">
        <v>103</v>
      </c>
      <c r="D321" s="1" t="s">
        <v>112</v>
      </c>
      <c r="E321" s="1" t="s">
        <v>110</v>
      </c>
      <c r="F321" s="1" t="s">
        <v>113</v>
      </c>
      <c r="G321" s="1" t="s">
        <v>107</v>
      </c>
      <c r="H321" s="1" t="s">
        <v>108</v>
      </c>
      <c r="I321" s="1" t="s">
        <v>104</v>
      </c>
      <c r="J321">
        <f t="shared" si="7"/>
        <v>0</v>
      </c>
      <c r="K321">
        <f>COUNTIFS(Grunnspill!$A:$A,Annex!B321)</f>
        <v>0</v>
      </c>
      <c r="L321">
        <f>COUNTIFS(Grunnspill!$A:$A,Annex!C321)</f>
        <v>0</v>
      </c>
      <c r="M321">
        <f>COUNTIFS(Grunnspill!$A:$A,Annex!D321)</f>
        <v>0</v>
      </c>
      <c r="N321">
        <f>COUNTIFS(Grunnspill!$A:$A,Annex!E321)</f>
        <v>0</v>
      </c>
      <c r="O321">
        <f>COUNTIFS(Grunnspill!$A:$A,Annex!F321)</f>
        <v>0</v>
      </c>
      <c r="P321">
        <f>COUNTIFS(Grunnspill!$A:$A,Annex!G321)</f>
        <v>0</v>
      </c>
      <c r="Q321">
        <f>COUNTIFS(Grunnspill!$A:$A,Annex!H321)</f>
        <v>0</v>
      </c>
      <c r="R321">
        <f>COUNTIFS(Grunnspill!$A:$A,Annex!I321)</f>
        <v>0</v>
      </c>
    </row>
    <row r="322" spans="1:18" x14ac:dyDescent="0.2">
      <c r="A322">
        <v>319</v>
      </c>
      <c r="B322" s="1" t="s">
        <v>106</v>
      </c>
      <c r="C322" s="1" t="s">
        <v>103</v>
      </c>
      <c r="D322" s="1" t="s">
        <v>112</v>
      </c>
      <c r="E322" s="1" t="s">
        <v>110</v>
      </c>
      <c r="F322" s="1" t="s">
        <v>113</v>
      </c>
      <c r="G322" s="1" t="s">
        <v>107</v>
      </c>
      <c r="H322" s="1" t="s">
        <v>104</v>
      </c>
      <c r="I322" s="1" t="s">
        <v>109</v>
      </c>
      <c r="J322">
        <f t="shared" si="7"/>
        <v>0</v>
      </c>
      <c r="K322">
        <f>COUNTIFS(Grunnspill!$A:$A,Annex!B322)</f>
        <v>0</v>
      </c>
      <c r="L322">
        <f>COUNTIFS(Grunnspill!$A:$A,Annex!C322)</f>
        <v>0</v>
      </c>
      <c r="M322">
        <f>COUNTIFS(Grunnspill!$A:$A,Annex!D322)</f>
        <v>0</v>
      </c>
      <c r="N322">
        <f>COUNTIFS(Grunnspill!$A:$A,Annex!E322)</f>
        <v>0</v>
      </c>
      <c r="O322">
        <f>COUNTIFS(Grunnspill!$A:$A,Annex!F322)</f>
        <v>0</v>
      </c>
      <c r="P322">
        <f>COUNTIFS(Grunnspill!$A:$A,Annex!G322)</f>
        <v>0</v>
      </c>
      <c r="Q322">
        <f>COUNTIFS(Grunnspill!$A:$A,Annex!H322)</f>
        <v>0</v>
      </c>
      <c r="R322">
        <f>COUNTIFS(Grunnspill!$A:$A,Annex!I322)</f>
        <v>0</v>
      </c>
    </row>
    <row r="323" spans="1:18" x14ac:dyDescent="0.2">
      <c r="A323">
        <v>320</v>
      </c>
      <c r="B323" s="1" t="s">
        <v>104</v>
      </c>
      <c r="C323" s="1" t="s">
        <v>103</v>
      </c>
      <c r="D323" s="1" t="s">
        <v>112</v>
      </c>
      <c r="E323" s="1" t="s">
        <v>110</v>
      </c>
      <c r="F323" s="1" t="s">
        <v>113</v>
      </c>
      <c r="G323" s="1" t="s">
        <v>105</v>
      </c>
      <c r="H323" s="1" t="s">
        <v>108</v>
      </c>
      <c r="I323" s="1" t="s">
        <v>109</v>
      </c>
      <c r="J323">
        <f t="shared" si="7"/>
        <v>0</v>
      </c>
      <c r="K323">
        <f>COUNTIFS(Grunnspill!$A:$A,Annex!B323)</f>
        <v>0</v>
      </c>
      <c r="L323">
        <f>COUNTIFS(Grunnspill!$A:$A,Annex!C323)</f>
        <v>0</v>
      </c>
      <c r="M323">
        <f>COUNTIFS(Grunnspill!$A:$A,Annex!D323)</f>
        <v>0</v>
      </c>
      <c r="N323">
        <f>COUNTIFS(Grunnspill!$A:$A,Annex!E323)</f>
        <v>0</v>
      </c>
      <c r="O323">
        <f>COUNTIFS(Grunnspill!$A:$A,Annex!F323)</f>
        <v>0</v>
      </c>
      <c r="P323">
        <f>COUNTIFS(Grunnspill!$A:$A,Annex!G323)</f>
        <v>0</v>
      </c>
      <c r="Q323">
        <f>COUNTIFS(Grunnspill!$A:$A,Annex!H323)</f>
        <v>0</v>
      </c>
      <c r="R323">
        <f>COUNTIFS(Grunnspill!$A:$A,Annex!I323)</f>
        <v>0</v>
      </c>
    </row>
    <row r="324" spans="1:18" x14ac:dyDescent="0.2">
      <c r="A324">
        <v>321</v>
      </c>
      <c r="B324" s="1" t="s">
        <v>106</v>
      </c>
      <c r="C324" s="1" t="s">
        <v>103</v>
      </c>
      <c r="D324" s="1" t="s">
        <v>112</v>
      </c>
      <c r="E324" s="1" t="s">
        <v>110</v>
      </c>
      <c r="F324" s="1" t="s">
        <v>113</v>
      </c>
      <c r="G324" s="1" t="s">
        <v>105</v>
      </c>
      <c r="H324" s="1" t="s">
        <v>108</v>
      </c>
      <c r="I324" s="1" t="s">
        <v>109</v>
      </c>
      <c r="J324">
        <f t="shared" si="7"/>
        <v>0</v>
      </c>
      <c r="K324">
        <f>COUNTIFS(Grunnspill!$A:$A,Annex!B324)</f>
        <v>0</v>
      </c>
      <c r="L324">
        <f>COUNTIFS(Grunnspill!$A:$A,Annex!C324)</f>
        <v>0</v>
      </c>
      <c r="M324">
        <f>COUNTIFS(Grunnspill!$A:$A,Annex!D324)</f>
        <v>0</v>
      </c>
      <c r="N324">
        <f>COUNTIFS(Grunnspill!$A:$A,Annex!E324)</f>
        <v>0</v>
      </c>
      <c r="O324">
        <f>COUNTIFS(Grunnspill!$A:$A,Annex!F324)</f>
        <v>0</v>
      </c>
      <c r="P324">
        <f>COUNTIFS(Grunnspill!$A:$A,Annex!G324)</f>
        <v>0</v>
      </c>
      <c r="Q324">
        <f>COUNTIFS(Grunnspill!$A:$A,Annex!H324)</f>
        <v>0</v>
      </c>
      <c r="R324">
        <f>COUNTIFS(Grunnspill!$A:$A,Annex!I324)</f>
        <v>0</v>
      </c>
    </row>
    <row r="325" spans="1:18" x14ac:dyDescent="0.2">
      <c r="A325">
        <v>322</v>
      </c>
      <c r="B325" s="1" t="s">
        <v>106</v>
      </c>
      <c r="C325" s="1" t="s">
        <v>104</v>
      </c>
      <c r="D325" s="1" t="s">
        <v>112</v>
      </c>
      <c r="E325" s="1" t="s">
        <v>110</v>
      </c>
      <c r="F325" s="1" t="s">
        <v>113</v>
      </c>
      <c r="G325" s="1" t="s">
        <v>105</v>
      </c>
      <c r="H325" s="1" t="s">
        <v>108</v>
      </c>
      <c r="I325" s="1" t="s">
        <v>109</v>
      </c>
      <c r="J325">
        <f t="shared" si="7"/>
        <v>0</v>
      </c>
      <c r="K325">
        <f>COUNTIFS(Grunnspill!$A:$A,Annex!B325)</f>
        <v>0</v>
      </c>
      <c r="L325">
        <f>COUNTIFS(Grunnspill!$A:$A,Annex!C325)</f>
        <v>0</v>
      </c>
      <c r="M325">
        <f>COUNTIFS(Grunnspill!$A:$A,Annex!D325)</f>
        <v>0</v>
      </c>
      <c r="N325">
        <f>COUNTIFS(Grunnspill!$A:$A,Annex!E325)</f>
        <v>0</v>
      </c>
      <c r="O325">
        <f>COUNTIFS(Grunnspill!$A:$A,Annex!F325)</f>
        <v>0</v>
      </c>
      <c r="P325">
        <f>COUNTIFS(Grunnspill!$A:$A,Annex!G325)</f>
        <v>0</v>
      </c>
      <c r="Q325">
        <f>COUNTIFS(Grunnspill!$A:$A,Annex!H325)</f>
        <v>0</v>
      </c>
      <c r="R325">
        <f>COUNTIFS(Grunnspill!$A:$A,Annex!I325)</f>
        <v>0</v>
      </c>
    </row>
    <row r="326" spans="1:18" x14ac:dyDescent="0.2">
      <c r="A326">
        <v>323</v>
      </c>
      <c r="B326" s="1" t="s">
        <v>106</v>
      </c>
      <c r="C326" s="1" t="s">
        <v>103</v>
      </c>
      <c r="D326" s="1" t="s">
        <v>112</v>
      </c>
      <c r="E326" s="1" t="s">
        <v>110</v>
      </c>
      <c r="F326" s="1" t="s">
        <v>113</v>
      </c>
      <c r="G326" s="1" t="s">
        <v>105</v>
      </c>
      <c r="H326" s="1" t="s">
        <v>108</v>
      </c>
      <c r="I326" s="1" t="s">
        <v>104</v>
      </c>
      <c r="J326">
        <f t="shared" si="7"/>
        <v>0</v>
      </c>
      <c r="K326">
        <f>COUNTIFS(Grunnspill!$A:$A,Annex!B326)</f>
        <v>0</v>
      </c>
      <c r="L326">
        <f>COUNTIFS(Grunnspill!$A:$A,Annex!C326)</f>
        <v>0</v>
      </c>
      <c r="M326">
        <f>COUNTIFS(Grunnspill!$A:$A,Annex!D326)</f>
        <v>0</v>
      </c>
      <c r="N326">
        <f>COUNTIFS(Grunnspill!$A:$A,Annex!E326)</f>
        <v>0</v>
      </c>
      <c r="O326">
        <f>COUNTIFS(Grunnspill!$A:$A,Annex!F326)</f>
        <v>0</v>
      </c>
      <c r="P326">
        <f>COUNTIFS(Grunnspill!$A:$A,Annex!G326)</f>
        <v>0</v>
      </c>
      <c r="Q326">
        <f>COUNTIFS(Grunnspill!$A:$A,Annex!H326)</f>
        <v>0</v>
      </c>
      <c r="R326">
        <f>COUNTIFS(Grunnspill!$A:$A,Annex!I326)</f>
        <v>0</v>
      </c>
    </row>
    <row r="327" spans="1:18" x14ac:dyDescent="0.2">
      <c r="A327">
        <v>324</v>
      </c>
      <c r="B327" s="1" t="s">
        <v>106</v>
      </c>
      <c r="C327" s="1" t="s">
        <v>103</v>
      </c>
      <c r="D327" s="1" t="s">
        <v>112</v>
      </c>
      <c r="E327" s="1" t="s">
        <v>110</v>
      </c>
      <c r="F327" s="1" t="s">
        <v>113</v>
      </c>
      <c r="G327" s="1" t="s">
        <v>105</v>
      </c>
      <c r="H327" s="1" t="s">
        <v>104</v>
      </c>
      <c r="I327" s="1" t="s">
        <v>109</v>
      </c>
      <c r="J327">
        <f t="shared" si="7"/>
        <v>0</v>
      </c>
      <c r="K327">
        <f>COUNTIFS(Grunnspill!$A:$A,Annex!B327)</f>
        <v>0</v>
      </c>
      <c r="L327">
        <f>COUNTIFS(Grunnspill!$A:$A,Annex!C327)</f>
        <v>0</v>
      </c>
      <c r="M327">
        <f>COUNTIFS(Grunnspill!$A:$A,Annex!D327)</f>
        <v>0</v>
      </c>
      <c r="N327">
        <f>COUNTIFS(Grunnspill!$A:$A,Annex!E327)</f>
        <v>0</v>
      </c>
      <c r="O327">
        <f>COUNTIFS(Grunnspill!$A:$A,Annex!F327)</f>
        <v>0</v>
      </c>
      <c r="P327">
        <f>COUNTIFS(Grunnspill!$A:$A,Annex!G327)</f>
        <v>0</v>
      </c>
      <c r="Q327">
        <f>COUNTIFS(Grunnspill!$A:$A,Annex!H327)</f>
        <v>0</v>
      </c>
      <c r="R327">
        <f>COUNTIFS(Grunnspill!$A:$A,Annex!I327)</f>
        <v>0</v>
      </c>
    </row>
    <row r="328" spans="1:18" x14ac:dyDescent="0.2">
      <c r="A328">
        <v>325</v>
      </c>
      <c r="B328" s="1" t="s">
        <v>105</v>
      </c>
      <c r="C328" s="1" t="s">
        <v>103</v>
      </c>
      <c r="D328" s="1" t="s">
        <v>112</v>
      </c>
      <c r="E328" s="1" t="s">
        <v>110</v>
      </c>
      <c r="F328" s="1" t="s">
        <v>113</v>
      </c>
      <c r="G328" s="1" t="s">
        <v>107</v>
      </c>
      <c r="H328" s="1" t="s">
        <v>108</v>
      </c>
      <c r="I328" s="1" t="s">
        <v>109</v>
      </c>
      <c r="J328">
        <f t="shared" si="7"/>
        <v>0</v>
      </c>
      <c r="K328">
        <f>COUNTIFS(Grunnspill!$A:$A,Annex!B328)</f>
        <v>0</v>
      </c>
      <c r="L328">
        <f>COUNTIFS(Grunnspill!$A:$A,Annex!C328)</f>
        <v>0</v>
      </c>
      <c r="M328">
        <f>COUNTIFS(Grunnspill!$A:$A,Annex!D328)</f>
        <v>0</v>
      </c>
      <c r="N328">
        <f>COUNTIFS(Grunnspill!$A:$A,Annex!E328)</f>
        <v>0</v>
      </c>
      <c r="O328">
        <f>COUNTIFS(Grunnspill!$A:$A,Annex!F328)</f>
        <v>0</v>
      </c>
      <c r="P328">
        <f>COUNTIFS(Grunnspill!$A:$A,Annex!G328)</f>
        <v>0</v>
      </c>
      <c r="Q328">
        <f>COUNTIFS(Grunnspill!$A:$A,Annex!H328)</f>
        <v>0</v>
      </c>
      <c r="R328">
        <f>COUNTIFS(Grunnspill!$A:$A,Annex!I328)</f>
        <v>0</v>
      </c>
    </row>
    <row r="329" spans="1:18" x14ac:dyDescent="0.2">
      <c r="A329">
        <v>326</v>
      </c>
      <c r="B329" s="1" t="s">
        <v>104</v>
      </c>
      <c r="C329" s="1" t="s">
        <v>107</v>
      </c>
      <c r="D329" s="1" t="s">
        <v>112</v>
      </c>
      <c r="E329" s="1" t="s">
        <v>110</v>
      </c>
      <c r="F329" s="1" t="s">
        <v>113</v>
      </c>
      <c r="G329" s="1" t="s">
        <v>105</v>
      </c>
      <c r="H329" s="1" t="s">
        <v>108</v>
      </c>
      <c r="I329" s="1" t="s">
        <v>109</v>
      </c>
      <c r="J329">
        <f t="shared" si="7"/>
        <v>0</v>
      </c>
      <c r="K329">
        <f>COUNTIFS(Grunnspill!$A:$A,Annex!B329)</f>
        <v>0</v>
      </c>
      <c r="L329">
        <f>COUNTIFS(Grunnspill!$A:$A,Annex!C329)</f>
        <v>0</v>
      </c>
      <c r="M329">
        <f>COUNTIFS(Grunnspill!$A:$A,Annex!D329)</f>
        <v>0</v>
      </c>
      <c r="N329">
        <f>COUNTIFS(Grunnspill!$A:$A,Annex!E329)</f>
        <v>0</v>
      </c>
      <c r="O329">
        <f>COUNTIFS(Grunnspill!$A:$A,Annex!F329)</f>
        <v>0</v>
      </c>
      <c r="P329">
        <f>COUNTIFS(Grunnspill!$A:$A,Annex!G329)</f>
        <v>0</v>
      </c>
      <c r="Q329">
        <f>COUNTIFS(Grunnspill!$A:$A,Annex!H329)</f>
        <v>0</v>
      </c>
      <c r="R329">
        <f>COUNTIFS(Grunnspill!$A:$A,Annex!I329)</f>
        <v>0</v>
      </c>
    </row>
    <row r="330" spans="1:18" x14ac:dyDescent="0.2">
      <c r="A330">
        <v>327</v>
      </c>
      <c r="B330" s="1" t="s">
        <v>105</v>
      </c>
      <c r="C330" s="1" t="s">
        <v>103</v>
      </c>
      <c r="D330" s="1" t="s">
        <v>112</v>
      </c>
      <c r="E330" s="1" t="s">
        <v>110</v>
      </c>
      <c r="F330" s="1" t="s">
        <v>113</v>
      </c>
      <c r="G330" s="1" t="s">
        <v>107</v>
      </c>
      <c r="H330" s="1" t="s">
        <v>108</v>
      </c>
      <c r="I330" s="1" t="s">
        <v>104</v>
      </c>
      <c r="J330">
        <f t="shared" si="7"/>
        <v>0</v>
      </c>
      <c r="K330">
        <f>COUNTIFS(Grunnspill!$A:$A,Annex!B330)</f>
        <v>0</v>
      </c>
      <c r="L330">
        <f>COUNTIFS(Grunnspill!$A:$A,Annex!C330)</f>
        <v>0</v>
      </c>
      <c r="M330">
        <f>COUNTIFS(Grunnspill!$A:$A,Annex!D330)</f>
        <v>0</v>
      </c>
      <c r="N330">
        <f>COUNTIFS(Grunnspill!$A:$A,Annex!E330)</f>
        <v>0</v>
      </c>
      <c r="O330">
        <f>COUNTIFS(Grunnspill!$A:$A,Annex!F330)</f>
        <v>0</v>
      </c>
      <c r="P330">
        <f>COUNTIFS(Grunnspill!$A:$A,Annex!G330)</f>
        <v>0</v>
      </c>
      <c r="Q330">
        <f>COUNTIFS(Grunnspill!$A:$A,Annex!H330)</f>
        <v>0</v>
      </c>
      <c r="R330">
        <f>COUNTIFS(Grunnspill!$A:$A,Annex!I330)</f>
        <v>0</v>
      </c>
    </row>
    <row r="331" spans="1:18" x14ac:dyDescent="0.2">
      <c r="A331">
        <v>328</v>
      </c>
      <c r="B331" s="1" t="s">
        <v>105</v>
      </c>
      <c r="C331" s="1" t="s">
        <v>103</v>
      </c>
      <c r="D331" s="1" t="s">
        <v>112</v>
      </c>
      <c r="E331" s="1" t="s">
        <v>110</v>
      </c>
      <c r="F331" s="1" t="s">
        <v>113</v>
      </c>
      <c r="G331" s="1" t="s">
        <v>107</v>
      </c>
      <c r="H331" s="1" t="s">
        <v>104</v>
      </c>
      <c r="I331" s="1" t="s">
        <v>109</v>
      </c>
      <c r="J331">
        <f t="shared" si="7"/>
        <v>0</v>
      </c>
      <c r="K331">
        <f>COUNTIFS(Grunnspill!$A:$A,Annex!B331)</f>
        <v>0</v>
      </c>
      <c r="L331">
        <f>COUNTIFS(Grunnspill!$A:$A,Annex!C331)</f>
        <v>0</v>
      </c>
      <c r="M331">
        <f>COUNTIFS(Grunnspill!$A:$A,Annex!D331)</f>
        <v>0</v>
      </c>
      <c r="N331">
        <f>COUNTIFS(Grunnspill!$A:$A,Annex!E331)</f>
        <v>0</v>
      </c>
      <c r="O331">
        <f>COUNTIFS(Grunnspill!$A:$A,Annex!F331)</f>
        <v>0</v>
      </c>
      <c r="P331">
        <f>COUNTIFS(Grunnspill!$A:$A,Annex!G331)</f>
        <v>0</v>
      </c>
      <c r="Q331">
        <f>COUNTIFS(Grunnspill!$A:$A,Annex!H331)</f>
        <v>0</v>
      </c>
      <c r="R331">
        <f>COUNTIFS(Grunnspill!$A:$A,Annex!I331)</f>
        <v>0</v>
      </c>
    </row>
    <row r="332" spans="1:18" x14ac:dyDescent="0.2">
      <c r="A332">
        <v>329</v>
      </c>
      <c r="B332" s="1" t="s">
        <v>106</v>
      </c>
      <c r="C332" s="1" t="s">
        <v>107</v>
      </c>
      <c r="D332" s="1" t="s">
        <v>112</v>
      </c>
      <c r="E332" s="1" t="s">
        <v>110</v>
      </c>
      <c r="F332" s="1" t="s">
        <v>113</v>
      </c>
      <c r="G332" s="1" t="s">
        <v>105</v>
      </c>
      <c r="H332" s="1" t="s">
        <v>108</v>
      </c>
      <c r="I332" s="1" t="s">
        <v>109</v>
      </c>
      <c r="J332">
        <f t="shared" si="7"/>
        <v>0</v>
      </c>
      <c r="K332">
        <f>COUNTIFS(Grunnspill!$A:$A,Annex!B332)</f>
        <v>0</v>
      </c>
      <c r="L332">
        <f>COUNTIFS(Grunnspill!$A:$A,Annex!C332)</f>
        <v>0</v>
      </c>
      <c r="M332">
        <f>COUNTIFS(Grunnspill!$A:$A,Annex!D332)</f>
        <v>0</v>
      </c>
      <c r="N332">
        <f>COUNTIFS(Grunnspill!$A:$A,Annex!E332)</f>
        <v>0</v>
      </c>
      <c r="O332">
        <f>COUNTIFS(Grunnspill!$A:$A,Annex!F332)</f>
        <v>0</v>
      </c>
      <c r="P332">
        <f>COUNTIFS(Grunnspill!$A:$A,Annex!G332)</f>
        <v>0</v>
      </c>
      <c r="Q332">
        <f>COUNTIFS(Grunnspill!$A:$A,Annex!H332)</f>
        <v>0</v>
      </c>
      <c r="R332">
        <f>COUNTIFS(Grunnspill!$A:$A,Annex!I332)</f>
        <v>0</v>
      </c>
    </row>
    <row r="333" spans="1:18" x14ac:dyDescent="0.2">
      <c r="A333">
        <v>330</v>
      </c>
      <c r="B333" s="1" t="s">
        <v>106</v>
      </c>
      <c r="C333" s="1" t="s">
        <v>107</v>
      </c>
      <c r="D333" s="1" t="s">
        <v>112</v>
      </c>
      <c r="E333" s="1" t="s">
        <v>110</v>
      </c>
      <c r="F333" s="1" t="s">
        <v>113</v>
      </c>
      <c r="G333" s="1" t="s">
        <v>105</v>
      </c>
      <c r="H333" s="1" t="s">
        <v>108</v>
      </c>
      <c r="I333" s="1" t="s">
        <v>103</v>
      </c>
      <c r="J333">
        <f t="shared" si="7"/>
        <v>0</v>
      </c>
      <c r="K333">
        <f>COUNTIFS(Grunnspill!$A:$A,Annex!B333)</f>
        <v>0</v>
      </c>
      <c r="L333">
        <f>COUNTIFS(Grunnspill!$A:$A,Annex!C333)</f>
        <v>0</v>
      </c>
      <c r="M333">
        <f>COUNTIFS(Grunnspill!$A:$A,Annex!D333)</f>
        <v>0</v>
      </c>
      <c r="N333">
        <f>COUNTIFS(Grunnspill!$A:$A,Annex!E333)</f>
        <v>0</v>
      </c>
      <c r="O333">
        <f>COUNTIFS(Grunnspill!$A:$A,Annex!F333)</f>
        <v>0</v>
      </c>
      <c r="P333">
        <f>COUNTIFS(Grunnspill!$A:$A,Annex!G333)</f>
        <v>0</v>
      </c>
      <c r="Q333">
        <f>COUNTIFS(Grunnspill!$A:$A,Annex!H333)</f>
        <v>0</v>
      </c>
      <c r="R333">
        <f>COUNTIFS(Grunnspill!$A:$A,Annex!I333)</f>
        <v>0</v>
      </c>
    </row>
    <row r="334" spans="1:18" x14ac:dyDescent="0.2">
      <c r="A334">
        <v>331</v>
      </c>
      <c r="B334" s="1" t="s">
        <v>106</v>
      </c>
      <c r="C334" s="1" t="s">
        <v>107</v>
      </c>
      <c r="D334" s="1" t="s">
        <v>112</v>
      </c>
      <c r="E334" s="1" t="s">
        <v>110</v>
      </c>
      <c r="F334" s="1" t="s">
        <v>113</v>
      </c>
      <c r="G334" s="1" t="s">
        <v>105</v>
      </c>
      <c r="H334" s="1" t="s">
        <v>103</v>
      </c>
      <c r="I334" s="1" t="s">
        <v>109</v>
      </c>
      <c r="J334">
        <f t="shared" si="7"/>
        <v>0</v>
      </c>
      <c r="K334">
        <f>COUNTIFS(Grunnspill!$A:$A,Annex!B334)</f>
        <v>0</v>
      </c>
      <c r="L334">
        <f>COUNTIFS(Grunnspill!$A:$A,Annex!C334)</f>
        <v>0</v>
      </c>
      <c r="M334">
        <f>COUNTIFS(Grunnspill!$A:$A,Annex!D334)</f>
        <v>0</v>
      </c>
      <c r="N334">
        <f>COUNTIFS(Grunnspill!$A:$A,Annex!E334)</f>
        <v>0</v>
      </c>
      <c r="O334">
        <f>COUNTIFS(Grunnspill!$A:$A,Annex!F334)</f>
        <v>0</v>
      </c>
      <c r="P334">
        <f>COUNTIFS(Grunnspill!$A:$A,Annex!G334)</f>
        <v>0</v>
      </c>
      <c r="Q334">
        <f>COUNTIFS(Grunnspill!$A:$A,Annex!H334)</f>
        <v>0</v>
      </c>
      <c r="R334">
        <f>COUNTIFS(Grunnspill!$A:$A,Annex!I334)</f>
        <v>0</v>
      </c>
    </row>
    <row r="335" spans="1:18" x14ac:dyDescent="0.2">
      <c r="A335">
        <v>332</v>
      </c>
      <c r="B335" s="1" t="s">
        <v>106</v>
      </c>
      <c r="C335" s="1" t="s">
        <v>107</v>
      </c>
      <c r="D335" s="1" t="s">
        <v>112</v>
      </c>
      <c r="E335" s="1" t="s">
        <v>110</v>
      </c>
      <c r="F335" s="1" t="s">
        <v>113</v>
      </c>
      <c r="G335" s="1" t="s">
        <v>105</v>
      </c>
      <c r="H335" s="1" t="s">
        <v>108</v>
      </c>
      <c r="I335" s="1" t="s">
        <v>104</v>
      </c>
      <c r="J335">
        <f t="shared" si="7"/>
        <v>0</v>
      </c>
      <c r="K335">
        <f>COUNTIFS(Grunnspill!$A:$A,Annex!B335)</f>
        <v>0</v>
      </c>
      <c r="L335">
        <f>COUNTIFS(Grunnspill!$A:$A,Annex!C335)</f>
        <v>0</v>
      </c>
      <c r="M335">
        <f>COUNTIFS(Grunnspill!$A:$A,Annex!D335)</f>
        <v>0</v>
      </c>
      <c r="N335">
        <f>COUNTIFS(Grunnspill!$A:$A,Annex!E335)</f>
        <v>0</v>
      </c>
      <c r="O335">
        <f>COUNTIFS(Grunnspill!$A:$A,Annex!F335)</f>
        <v>0</v>
      </c>
      <c r="P335">
        <f>COUNTIFS(Grunnspill!$A:$A,Annex!G335)</f>
        <v>0</v>
      </c>
      <c r="Q335">
        <f>COUNTIFS(Grunnspill!$A:$A,Annex!H335)</f>
        <v>0</v>
      </c>
      <c r="R335">
        <f>COUNTIFS(Grunnspill!$A:$A,Annex!I335)</f>
        <v>0</v>
      </c>
    </row>
    <row r="336" spans="1:18" x14ac:dyDescent="0.2">
      <c r="A336">
        <v>333</v>
      </c>
      <c r="B336" s="1" t="s">
        <v>106</v>
      </c>
      <c r="C336" s="1" t="s">
        <v>107</v>
      </c>
      <c r="D336" s="1" t="s">
        <v>112</v>
      </c>
      <c r="E336" s="1" t="s">
        <v>110</v>
      </c>
      <c r="F336" s="1" t="s">
        <v>113</v>
      </c>
      <c r="G336" s="1" t="s">
        <v>105</v>
      </c>
      <c r="H336" s="1" t="s">
        <v>104</v>
      </c>
      <c r="I336" s="1" t="s">
        <v>109</v>
      </c>
      <c r="J336">
        <f t="shared" si="7"/>
        <v>0</v>
      </c>
      <c r="K336">
        <f>COUNTIFS(Grunnspill!$A:$A,Annex!B336)</f>
        <v>0</v>
      </c>
      <c r="L336">
        <f>COUNTIFS(Grunnspill!$A:$A,Annex!C336)</f>
        <v>0</v>
      </c>
      <c r="M336">
        <f>COUNTIFS(Grunnspill!$A:$A,Annex!D336)</f>
        <v>0</v>
      </c>
      <c r="N336">
        <f>COUNTIFS(Grunnspill!$A:$A,Annex!E336)</f>
        <v>0</v>
      </c>
      <c r="O336">
        <f>COUNTIFS(Grunnspill!$A:$A,Annex!F336)</f>
        <v>0</v>
      </c>
      <c r="P336">
        <f>COUNTIFS(Grunnspill!$A:$A,Annex!G336)</f>
        <v>0</v>
      </c>
      <c r="Q336">
        <f>COUNTIFS(Grunnspill!$A:$A,Annex!H336)</f>
        <v>0</v>
      </c>
      <c r="R336">
        <f>COUNTIFS(Grunnspill!$A:$A,Annex!I336)</f>
        <v>0</v>
      </c>
    </row>
    <row r="337" spans="1:18" x14ac:dyDescent="0.2">
      <c r="A337">
        <v>334</v>
      </c>
      <c r="B337" s="1" t="s">
        <v>106</v>
      </c>
      <c r="C337" s="1" t="s">
        <v>107</v>
      </c>
      <c r="D337" s="1" t="s">
        <v>112</v>
      </c>
      <c r="E337" s="1" t="s">
        <v>110</v>
      </c>
      <c r="F337" s="1" t="s">
        <v>113</v>
      </c>
      <c r="G337" s="1" t="s">
        <v>105</v>
      </c>
      <c r="H337" s="1" t="s">
        <v>104</v>
      </c>
      <c r="I337" s="1" t="s">
        <v>103</v>
      </c>
      <c r="J337">
        <f t="shared" si="7"/>
        <v>0</v>
      </c>
      <c r="K337">
        <f>COUNTIFS(Grunnspill!$A:$A,Annex!B337)</f>
        <v>0</v>
      </c>
      <c r="L337">
        <f>COUNTIFS(Grunnspill!$A:$A,Annex!C337)</f>
        <v>0</v>
      </c>
      <c r="M337">
        <f>COUNTIFS(Grunnspill!$A:$A,Annex!D337)</f>
        <v>0</v>
      </c>
      <c r="N337">
        <f>COUNTIFS(Grunnspill!$A:$A,Annex!E337)</f>
        <v>0</v>
      </c>
      <c r="O337">
        <f>COUNTIFS(Grunnspill!$A:$A,Annex!F337)</f>
        <v>0</v>
      </c>
      <c r="P337">
        <f>COUNTIFS(Grunnspill!$A:$A,Annex!G337)</f>
        <v>0</v>
      </c>
      <c r="Q337">
        <f>COUNTIFS(Grunnspill!$A:$A,Annex!H337)</f>
        <v>0</v>
      </c>
      <c r="R337">
        <f>COUNTIFS(Grunnspill!$A:$A,Annex!I337)</f>
        <v>0</v>
      </c>
    </row>
    <row r="338" spans="1:18" x14ac:dyDescent="0.2">
      <c r="A338">
        <v>335</v>
      </c>
      <c r="B338" s="1" t="s">
        <v>102</v>
      </c>
      <c r="C338" s="1" t="s">
        <v>103</v>
      </c>
      <c r="D338" s="1" t="s">
        <v>112</v>
      </c>
      <c r="E338" s="1" t="s">
        <v>113</v>
      </c>
      <c r="F338" s="1" t="s">
        <v>104</v>
      </c>
      <c r="G338" s="1" t="s">
        <v>110</v>
      </c>
      <c r="H338" s="1" t="s">
        <v>108</v>
      </c>
      <c r="I338" s="1" t="s">
        <v>109</v>
      </c>
      <c r="J338">
        <f t="shared" si="7"/>
        <v>0</v>
      </c>
      <c r="K338">
        <f>COUNTIFS(Grunnspill!$A:$A,Annex!B338)</f>
        <v>0</v>
      </c>
      <c r="L338">
        <f>COUNTIFS(Grunnspill!$A:$A,Annex!C338)</f>
        <v>0</v>
      </c>
      <c r="M338">
        <f>COUNTIFS(Grunnspill!$A:$A,Annex!D338)</f>
        <v>0</v>
      </c>
      <c r="N338">
        <f>COUNTIFS(Grunnspill!$A:$A,Annex!E338)</f>
        <v>0</v>
      </c>
      <c r="O338">
        <f>COUNTIFS(Grunnspill!$A:$A,Annex!F338)</f>
        <v>0</v>
      </c>
      <c r="P338">
        <f>COUNTIFS(Grunnspill!$A:$A,Annex!G338)</f>
        <v>0</v>
      </c>
      <c r="Q338">
        <f>COUNTIFS(Grunnspill!$A:$A,Annex!H338)</f>
        <v>0</v>
      </c>
      <c r="R338">
        <f>COUNTIFS(Grunnspill!$A:$A,Annex!I338)</f>
        <v>0</v>
      </c>
    </row>
    <row r="339" spans="1:18" x14ac:dyDescent="0.2">
      <c r="A339">
        <v>336</v>
      </c>
      <c r="B339" s="1" t="s">
        <v>102</v>
      </c>
      <c r="C339" s="1" t="s">
        <v>103</v>
      </c>
      <c r="D339" s="1" t="s">
        <v>112</v>
      </c>
      <c r="E339" s="1" t="s">
        <v>110</v>
      </c>
      <c r="F339" s="1" t="s">
        <v>113</v>
      </c>
      <c r="G339" s="1" t="s">
        <v>106</v>
      </c>
      <c r="H339" s="1" t="s">
        <v>108</v>
      </c>
      <c r="I339" s="1" t="s">
        <v>109</v>
      </c>
      <c r="J339">
        <f t="shared" si="7"/>
        <v>0</v>
      </c>
      <c r="K339">
        <f>COUNTIFS(Grunnspill!$A:$A,Annex!B339)</f>
        <v>0</v>
      </c>
      <c r="L339">
        <f>COUNTIFS(Grunnspill!$A:$A,Annex!C339)</f>
        <v>0</v>
      </c>
      <c r="M339">
        <f>COUNTIFS(Grunnspill!$A:$A,Annex!D339)</f>
        <v>0</v>
      </c>
      <c r="N339">
        <f>COUNTIFS(Grunnspill!$A:$A,Annex!E339)</f>
        <v>0</v>
      </c>
      <c r="O339">
        <f>COUNTIFS(Grunnspill!$A:$A,Annex!F339)</f>
        <v>0</v>
      </c>
      <c r="P339">
        <f>COUNTIFS(Grunnspill!$A:$A,Annex!G339)</f>
        <v>0</v>
      </c>
      <c r="Q339">
        <f>COUNTIFS(Grunnspill!$A:$A,Annex!H339)</f>
        <v>0</v>
      </c>
      <c r="R339">
        <f>COUNTIFS(Grunnspill!$A:$A,Annex!I339)</f>
        <v>0</v>
      </c>
    </row>
    <row r="340" spans="1:18" x14ac:dyDescent="0.2">
      <c r="A340">
        <v>337</v>
      </c>
      <c r="B340" s="1" t="s">
        <v>102</v>
      </c>
      <c r="C340" s="1" t="s">
        <v>104</v>
      </c>
      <c r="D340" s="1" t="s">
        <v>112</v>
      </c>
      <c r="E340" s="1" t="s">
        <v>110</v>
      </c>
      <c r="F340" s="1" t="s">
        <v>113</v>
      </c>
      <c r="G340" s="1" t="s">
        <v>106</v>
      </c>
      <c r="H340" s="1" t="s">
        <v>108</v>
      </c>
      <c r="I340" s="1" t="s">
        <v>109</v>
      </c>
      <c r="J340">
        <f t="shared" si="7"/>
        <v>0</v>
      </c>
      <c r="K340">
        <f>COUNTIFS(Grunnspill!$A:$A,Annex!B340)</f>
        <v>0</v>
      </c>
      <c r="L340">
        <f>COUNTIFS(Grunnspill!$A:$A,Annex!C340)</f>
        <v>0</v>
      </c>
      <c r="M340">
        <f>COUNTIFS(Grunnspill!$A:$A,Annex!D340)</f>
        <v>0</v>
      </c>
      <c r="N340">
        <f>COUNTIFS(Grunnspill!$A:$A,Annex!E340)</f>
        <v>0</v>
      </c>
      <c r="O340">
        <f>COUNTIFS(Grunnspill!$A:$A,Annex!F340)</f>
        <v>0</v>
      </c>
      <c r="P340">
        <f>COUNTIFS(Grunnspill!$A:$A,Annex!G340)</f>
        <v>0</v>
      </c>
      <c r="Q340">
        <f>COUNTIFS(Grunnspill!$A:$A,Annex!H340)</f>
        <v>0</v>
      </c>
      <c r="R340">
        <f>COUNTIFS(Grunnspill!$A:$A,Annex!I340)</f>
        <v>0</v>
      </c>
    </row>
    <row r="341" spans="1:18" x14ac:dyDescent="0.2">
      <c r="A341">
        <v>338</v>
      </c>
      <c r="B341" s="1" t="s">
        <v>102</v>
      </c>
      <c r="C341" s="1" t="s">
        <v>103</v>
      </c>
      <c r="D341" s="1" t="s">
        <v>112</v>
      </c>
      <c r="E341" s="1" t="s">
        <v>110</v>
      </c>
      <c r="F341" s="1" t="s">
        <v>113</v>
      </c>
      <c r="G341" s="1" t="s">
        <v>106</v>
      </c>
      <c r="H341" s="1" t="s">
        <v>108</v>
      </c>
      <c r="I341" s="1" t="s">
        <v>104</v>
      </c>
      <c r="J341">
        <f t="shared" si="7"/>
        <v>0</v>
      </c>
      <c r="K341">
        <f>COUNTIFS(Grunnspill!$A:$A,Annex!B341)</f>
        <v>0</v>
      </c>
      <c r="L341">
        <f>COUNTIFS(Grunnspill!$A:$A,Annex!C341)</f>
        <v>0</v>
      </c>
      <c r="M341">
        <f>COUNTIFS(Grunnspill!$A:$A,Annex!D341)</f>
        <v>0</v>
      </c>
      <c r="N341">
        <f>COUNTIFS(Grunnspill!$A:$A,Annex!E341)</f>
        <v>0</v>
      </c>
      <c r="O341">
        <f>COUNTIFS(Grunnspill!$A:$A,Annex!F341)</f>
        <v>0</v>
      </c>
      <c r="P341">
        <f>COUNTIFS(Grunnspill!$A:$A,Annex!G341)</f>
        <v>0</v>
      </c>
      <c r="Q341">
        <f>COUNTIFS(Grunnspill!$A:$A,Annex!H341)</f>
        <v>0</v>
      </c>
      <c r="R341">
        <f>COUNTIFS(Grunnspill!$A:$A,Annex!I341)</f>
        <v>0</v>
      </c>
    </row>
    <row r="342" spans="1:18" x14ac:dyDescent="0.2">
      <c r="A342">
        <v>339</v>
      </c>
      <c r="B342" s="1" t="s">
        <v>102</v>
      </c>
      <c r="C342" s="1" t="s">
        <v>103</v>
      </c>
      <c r="D342" s="1" t="s">
        <v>112</v>
      </c>
      <c r="E342" s="1" t="s">
        <v>110</v>
      </c>
      <c r="F342" s="1" t="s">
        <v>113</v>
      </c>
      <c r="G342" s="1" t="s">
        <v>106</v>
      </c>
      <c r="H342" s="1" t="s">
        <v>104</v>
      </c>
      <c r="I342" s="1" t="s">
        <v>109</v>
      </c>
      <c r="J342">
        <f t="shared" ref="J342:J405" si="8">SUM(K342:R342)</f>
        <v>0</v>
      </c>
      <c r="K342">
        <f>COUNTIFS(Grunnspill!$A:$A,Annex!B342)</f>
        <v>0</v>
      </c>
      <c r="L342">
        <f>COUNTIFS(Grunnspill!$A:$A,Annex!C342)</f>
        <v>0</v>
      </c>
      <c r="M342">
        <f>COUNTIFS(Grunnspill!$A:$A,Annex!D342)</f>
        <v>0</v>
      </c>
      <c r="N342">
        <f>COUNTIFS(Grunnspill!$A:$A,Annex!E342)</f>
        <v>0</v>
      </c>
      <c r="O342">
        <f>COUNTIFS(Grunnspill!$A:$A,Annex!F342)</f>
        <v>0</v>
      </c>
      <c r="P342">
        <f>COUNTIFS(Grunnspill!$A:$A,Annex!G342)</f>
        <v>0</v>
      </c>
      <c r="Q342">
        <f>COUNTIFS(Grunnspill!$A:$A,Annex!H342)</f>
        <v>0</v>
      </c>
      <c r="R342">
        <f>COUNTIFS(Grunnspill!$A:$A,Annex!I342)</f>
        <v>0</v>
      </c>
    </row>
    <row r="343" spans="1:18" x14ac:dyDescent="0.2">
      <c r="A343">
        <v>340</v>
      </c>
      <c r="B343" s="1" t="s">
        <v>102</v>
      </c>
      <c r="C343" s="1" t="s">
        <v>103</v>
      </c>
      <c r="D343" s="1" t="s">
        <v>112</v>
      </c>
      <c r="E343" s="1" t="s">
        <v>110</v>
      </c>
      <c r="F343" s="1" t="s">
        <v>113</v>
      </c>
      <c r="G343" s="1" t="s">
        <v>107</v>
      </c>
      <c r="H343" s="1" t="s">
        <v>108</v>
      </c>
      <c r="I343" s="1" t="s">
        <v>109</v>
      </c>
      <c r="J343">
        <f t="shared" si="8"/>
        <v>0</v>
      </c>
      <c r="K343">
        <f>COUNTIFS(Grunnspill!$A:$A,Annex!B343)</f>
        <v>0</v>
      </c>
      <c r="L343">
        <f>COUNTIFS(Grunnspill!$A:$A,Annex!C343)</f>
        <v>0</v>
      </c>
      <c r="M343">
        <f>COUNTIFS(Grunnspill!$A:$A,Annex!D343)</f>
        <v>0</v>
      </c>
      <c r="N343">
        <f>COUNTIFS(Grunnspill!$A:$A,Annex!E343)</f>
        <v>0</v>
      </c>
      <c r="O343">
        <f>COUNTIFS(Grunnspill!$A:$A,Annex!F343)</f>
        <v>0</v>
      </c>
      <c r="P343">
        <f>COUNTIFS(Grunnspill!$A:$A,Annex!G343)</f>
        <v>0</v>
      </c>
      <c r="Q343">
        <f>COUNTIFS(Grunnspill!$A:$A,Annex!H343)</f>
        <v>0</v>
      </c>
      <c r="R343">
        <f>COUNTIFS(Grunnspill!$A:$A,Annex!I343)</f>
        <v>0</v>
      </c>
    </row>
    <row r="344" spans="1:18" x14ac:dyDescent="0.2">
      <c r="A344">
        <v>341</v>
      </c>
      <c r="B344" s="1" t="s">
        <v>102</v>
      </c>
      <c r="C344" s="1" t="s">
        <v>107</v>
      </c>
      <c r="D344" s="1" t="s">
        <v>112</v>
      </c>
      <c r="E344" s="1" t="s">
        <v>113</v>
      </c>
      <c r="F344" s="1" t="s">
        <v>104</v>
      </c>
      <c r="G344" s="1" t="s">
        <v>110</v>
      </c>
      <c r="H344" s="1" t="s">
        <v>108</v>
      </c>
      <c r="I344" s="1" t="s">
        <v>109</v>
      </c>
      <c r="J344">
        <f t="shared" si="8"/>
        <v>0</v>
      </c>
      <c r="K344">
        <f>COUNTIFS(Grunnspill!$A:$A,Annex!B344)</f>
        <v>0</v>
      </c>
      <c r="L344">
        <f>COUNTIFS(Grunnspill!$A:$A,Annex!C344)</f>
        <v>0</v>
      </c>
      <c r="M344">
        <f>COUNTIFS(Grunnspill!$A:$A,Annex!D344)</f>
        <v>0</v>
      </c>
      <c r="N344">
        <f>COUNTIFS(Grunnspill!$A:$A,Annex!E344)</f>
        <v>0</v>
      </c>
      <c r="O344">
        <f>COUNTIFS(Grunnspill!$A:$A,Annex!F344)</f>
        <v>0</v>
      </c>
      <c r="P344">
        <f>COUNTIFS(Grunnspill!$A:$A,Annex!G344)</f>
        <v>0</v>
      </c>
      <c r="Q344">
        <f>COUNTIFS(Grunnspill!$A:$A,Annex!H344)</f>
        <v>0</v>
      </c>
      <c r="R344">
        <f>COUNTIFS(Grunnspill!$A:$A,Annex!I344)</f>
        <v>0</v>
      </c>
    </row>
    <row r="345" spans="1:18" x14ac:dyDescent="0.2">
      <c r="A345">
        <v>342</v>
      </c>
      <c r="B345" s="1" t="s">
        <v>102</v>
      </c>
      <c r="C345" s="1" t="s">
        <v>103</v>
      </c>
      <c r="D345" s="1" t="s">
        <v>112</v>
      </c>
      <c r="E345" s="1" t="s">
        <v>110</v>
      </c>
      <c r="F345" s="1" t="s">
        <v>113</v>
      </c>
      <c r="G345" s="1" t="s">
        <v>107</v>
      </c>
      <c r="H345" s="1" t="s">
        <v>108</v>
      </c>
      <c r="I345" s="1" t="s">
        <v>104</v>
      </c>
      <c r="J345">
        <f t="shared" si="8"/>
        <v>0</v>
      </c>
      <c r="K345">
        <f>COUNTIFS(Grunnspill!$A:$A,Annex!B345)</f>
        <v>0</v>
      </c>
      <c r="L345">
        <f>COUNTIFS(Grunnspill!$A:$A,Annex!C345)</f>
        <v>0</v>
      </c>
      <c r="M345">
        <f>COUNTIFS(Grunnspill!$A:$A,Annex!D345)</f>
        <v>0</v>
      </c>
      <c r="N345">
        <f>COUNTIFS(Grunnspill!$A:$A,Annex!E345)</f>
        <v>0</v>
      </c>
      <c r="O345">
        <f>COUNTIFS(Grunnspill!$A:$A,Annex!F345)</f>
        <v>0</v>
      </c>
      <c r="P345">
        <f>COUNTIFS(Grunnspill!$A:$A,Annex!G345)</f>
        <v>0</v>
      </c>
      <c r="Q345">
        <f>COUNTIFS(Grunnspill!$A:$A,Annex!H345)</f>
        <v>0</v>
      </c>
      <c r="R345">
        <f>COUNTIFS(Grunnspill!$A:$A,Annex!I345)</f>
        <v>0</v>
      </c>
    </row>
    <row r="346" spans="1:18" x14ac:dyDescent="0.2">
      <c r="A346">
        <v>343</v>
      </c>
      <c r="B346" s="1" t="s">
        <v>102</v>
      </c>
      <c r="C346" s="1" t="s">
        <v>103</v>
      </c>
      <c r="D346" s="1" t="s">
        <v>112</v>
      </c>
      <c r="E346" s="1" t="s">
        <v>110</v>
      </c>
      <c r="F346" s="1" t="s">
        <v>113</v>
      </c>
      <c r="G346" s="1" t="s">
        <v>107</v>
      </c>
      <c r="H346" s="1" t="s">
        <v>104</v>
      </c>
      <c r="I346" s="1" t="s">
        <v>109</v>
      </c>
      <c r="J346">
        <f t="shared" si="8"/>
        <v>0</v>
      </c>
      <c r="K346">
        <f>COUNTIFS(Grunnspill!$A:$A,Annex!B346)</f>
        <v>0</v>
      </c>
      <c r="L346">
        <f>COUNTIFS(Grunnspill!$A:$A,Annex!C346)</f>
        <v>0</v>
      </c>
      <c r="M346">
        <f>COUNTIFS(Grunnspill!$A:$A,Annex!D346)</f>
        <v>0</v>
      </c>
      <c r="N346">
        <f>COUNTIFS(Grunnspill!$A:$A,Annex!E346)</f>
        <v>0</v>
      </c>
      <c r="O346">
        <f>COUNTIFS(Grunnspill!$A:$A,Annex!F346)</f>
        <v>0</v>
      </c>
      <c r="P346">
        <f>COUNTIFS(Grunnspill!$A:$A,Annex!G346)</f>
        <v>0</v>
      </c>
      <c r="Q346">
        <f>COUNTIFS(Grunnspill!$A:$A,Annex!H346)</f>
        <v>0</v>
      </c>
      <c r="R346">
        <f>COUNTIFS(Grunnspill!$A:$A,Annex!I346)</f>
        <v>0</v>
      </c>
    </row>
    <row r="347" spans="1:18" x14ac:dyDescent="0.2">
      <c r="A347">
        <v>344</v>
      </c>
      <c r="B347" s="1" t="s">
        <v>102</v>
      </c>
      <c r="C347" s="1" t="s">
        <v>107</v>
      </c>
      <c r="D347" s="1" t="s">
        <v>112</v>
      </c>
      <c r="E347" s="1" t="s">
        <v>110</v>
      </c>
      <c r="F347" s="1" t="s">
        <v>113</v>
      </c>
      <c r="G347" s="1" t="s">
        <v>106</v>
      </c>
      <c r="H347" s="1" t="s">
        <v>108</v>
      </c>
      <c r="I347" s="1" t="s">
        <v>109</v>
      </c>
      <c r="J347">
        <f t="shared" si="8"/>
        <v>0</v>
      </c>
      <c r="K347">
        <f>COUNTIFS(Grunnspill!$A:$A,Annex!B347)</f>
        <v>0</v>
      </c>
      <c r="L347">
        <f>COUNTIFS(Grunnspill!$A:$A,Annex!C347)</f>
        <v>0</v>
      </c>
      <c r="M347">
        <f>COUNTIFS(Grunnspill!$A:$A,Annex!D347)</f>
        <v>0</v>
      </c>
      <c r="N347">
        <f>COUNTIFS(Grunnspill!$A:$A,Annex!E347)</f>
        <v>0</v>
      </c>
      <c r="O347">
        <f>COUNTIFS(Grunnspill!$A:$A,Annex!F347)</f>
        <v>0</v>
      </c>
      <c r="P347">
        <f>COUNTIFS(Grunnspill!$A:$A,Annex!G347)</f>
        <v>0</v>
      </c>
      <c r="Q347">
        <f>COUNTIFS(Grunnspill!$A:$A,Annex!H347)</f>
        <v>0</v>
      </c>
      <c r="R347">
        <f>COUNTIFS(Grunnspill!$A:$A,Annex!I347)</f>
        <v>0</v>
      </c>
    </row>
    <row r="348" spans="1:18" x14ac:dyDescent="0.2">
      <c r="A348">
        <v>345</v>
      </c>
      <c r="B348" s="1" t="s">
        <v>106</v>
      </c>
      <c r="C348" s="1" t="s">
        <v>103</v>
      </c>
      <c r="D348" s="1" t="s">
        <v>112</v>
      </c>
      <c r="E348" s="1" t="s">
        <v>110</v>
      </c>
      <c r="F348" s="1" t="s">
        <v>113</v>
      </c>
      <c r="G348" s="1" t="s">
        <v>107</v>
      </c>
      <c r="H348" s="1" t="s">
        <v>108</v>
      </c>
      <c r="I348" s="1" t="s">
        <v>102</v>
      </c>
      <c r="J348">
        <f t="shared" si="8"/>
        <v>0</v>
      </c>
      <c r="K348">
        <f>COUNTIFS(Grunnspill!$A:$A,Annex!B348)</f>
        <v>0</v>
      </c>
      <c r="L348">
        <f>COUNTIFS(Grunnspill!$A:$A,Annex!C348)</f>
        <v>0</v>
      </c>
      <c r="M348">
        <f>COUNTIFS(Grunnspill!$A:$A,Annex!D348)</f>
        <v>0</v>
      </c>
      <c r="N348">
        <f>COUNTIFS(Grunnspill!$A:$A,Annex!E348)</f>
        <v>0</v>
      </c>
      <c r="O348">
        <f>COUNTIFS(Grunnspill!$A:$A,Annex!F348)</f>
        <v>0</v>
      </c>
      <c r="P348">
        <f>COUNTIFS(Grunnspill!$A:$A,Annex!G348)</f>
        <v>0</v>
      </c>
      <c r="Q348">
        <f>COUNTIFS(Grunnspill!$A:$A,Annex!H348)</f>
        <v>0</v>
      </c>
      <c r="R348">
        <f>COUNTIFS(Grunnspill!$A:$A,Annex!I348)</f>
        <v>0</v>
      </c>
    </row>
    <row r="349" spans="1:18" x14ac:dyDescent="0.2">
      <c r="A349">
        <v>346</v>
      </c>
      <c r="B349" s="1" t="s">
        <v>106</v>
      </c>
      <c r="C349" s="1" t="s">
        <v>103</v>
      </c>
      <c r="D349" s="1" t="s">
        <v>112</v>
      </c>
      <c r="E349" s="1" t="s">
        <v>110</v>
      </c>
      <c r="F349" s="1" t="s">
        <v>113</v>
      </c>
      <c r="G349" s="1" t="s">
        <v>107</v>
      </c>
      <c r="H349" s="1" t="s">
        <v>102</v>
      </c>
      <c r="I349" s="1" t="s">
        <v>109</v>
      </c>
      <c r="J349">
        <f t="shared" si="8"/>
        <v>0</v>
      </c>
      <c r="K349">
        <f>COUNTIFS(Grunnspill!$A:$A,Annex!B349)</f>
        <v>0</v>
      </c>
      <c r="L349">
        <f>COUNTIFS(Grunnspill!$A:$A,Annex!C349)</f>
        <v>0</v>
      </c>
      <c r="M349">
        <f>COUNTIFS(Grunnspill!$A:$A,Annex!D349)</f>
        <v>0</v>
      </c>
      <c r="N349">
        <f>COUNTIFS(Grunnspill!$A:$A,Annex!E349)</f>
        <v>0</v>
      </c>
      <c r="O349">
        <f>COUNTIFS(Grunnspill!$A:$A,Annex!F349)</f>
        <v>0</v>
      </c>
      <c r="P349">
        <f>COUNTIFS(Grunnspill!$A:$A,Annex!G349)</f>
        <v>0</v>
      </c>
      <c r="Q349">
        <f>COUNTIFS(Grunnspill!$A:$A,Annex!H349)</f>
        <v>0</v>
      </c>
      <c r="R349">
        <f>COUNTIFS(Grunnspill!$A:$A,Annex!I349)</f>
        <v>0</v>
      </c>
    </row>
    <row r="350" spans="1:18" x14ac:dyDescent="0.2">
      <c r="A350">
        <v>347</v>
      </c>
      <c r="B350" s="1" t="s">
        <v>102</v>
      </c>
      <c r="C350" s="1" t="s">
        <v>107</v>
      </c>
      <c r="D350" s="1" t="s">
        <v>112</v>
      </c>
      <c r="E350" s="1" t="s">
        <v>110</v>
      </c>
      <c r="F350" s="1" t="s">
        <v>113</v>
      </c>
      <c r="G350" s="1" t="s">
        <v>106</v>
      </c>
      <c r="H350" s="1" t="s">
        <v>108</v>
      </c>
      <c r="I350" s="1" t="s">
        <v>104</v>
      </c>
      <c r="J350">
        <f t="shared" si="8"/>
        <v>0</v>
      </c>
      <c r="K350">
        <f>COUNTIFS(Grunnspill!$A:$A,Annex!B350)</f>
        <v>0</v>
      </c>
      <c r="L350">
        <f>COUNTIFS(Grunnspill!$A:$A,Annex!C350)</f>
        <v>0</v>
      </c>
      <c r="M350">
        <f>COUNTIFS(Grunnspill!$A:$A,Annex!D350)</f>
        <v>0</v>
      </c>
      <c r="N350">
        <f>COUNTIFS(Grunnspill!$A:$A,Annex!E350)</f>
        <v>0</v>
      </c>
      <c r="O350">
        <f>COUNTIFS(Grunnspill!$A:$A,Annex!F350)</f>
        <v>0</v>
      </c>
      <c r="P350">
        <f>COUNTIFS(Grunnspill!$A:$A,Annex!G350)</f>
        <v>0</v>
      </c>
      <c r="Q350">
        <f>COUNTIFS(Grunnspill!$A:$A,Annex!H350)</f>
        <v>0</v>
      </c>
      <c r="R350">
        <f>COUNTIFS(Grunnspill!$A:$A,Annex!I350)</f>
        <v>0</v>
      </c>
    </row>
    <row r="351" spans="1:18" x14ac:dyDescent="0.2">
      <c r="A351">
        <v>348</v>
      </c>
      <c r="B351" s="1" t="s">
        <v>102</v>
      </c>
      <c r="C351" s="1" t="s">
        <v>107</v>
      </c>
      <c r="D351" s="1" t="s">
        <v>112</v>
      </c>
      <c r="E351" s="1" t="s">
        <v>110</v>
      </c>
      <c r="F351" s="1" t="s">
        <v>113</v>
      </c>
      <c r="G351" s="1" t="s">
        <v>106</v>
      </c>
      <c r="H351" s="1" t="s">
        <v>104</v>
      </c>
      <c r="I351" s="1" t="s">
        <v>109</v>
      </c>
      <c r="J351">
        <f t="shared" si="8"/>
        <v>0</v>
      </c>
      <c r="K351">
        <f>COUNTIFS(Grunnspill!$A:$A,Annex!B351)</f>
        <v>0</v>
      </c>
      <c r="L351">
        <f>COUNTIFS(Grunnspill!$A:$A,Annex!C351)</f>
        <v>0</v>
      </c>
      <c r="M351">
        <f>COUNTIFS(Grunnspill!$A:$A,Annex!D351)</f>
        <v>0</v>
      </c>
      <c r="N351">
        <f>COUNTIFS(Grunnspill!$A:$A,Annex!E351)</f>
        <v>0</v>
      </c>
      <c r="O351">
        <f>COUNTIFS(Grunnspill!$A:$A,Annex!F351)</f>
        <v>0</v>
      </c>
      <c r="P351">
        <f>COUNTIFS(Grunnspill!$A:$A,Annex!G351)</f>
        <v>0</v>
      </c>
      <c r="Q351">
        <f>COUNTIFS(Grunnspill!$A:$A,Annex!H351)</f>
        <v>0</v>
      </c>
      <c r="R351">
        <f>COUNTIFS(Grunnspill!$A:$A,Annex!I351)</f>
        <v>0</v>
      </c>
    </row>
    <row r="352" spans="1:18" x14ac:dyDescent="0.2">
      <c r="A352">
        <v>349</v>
      </c>
      <c r="B352" s="1" t="s">
        <v>106</v>
      </c>
      <c r="C352" s="1" t="s">
        <v>103</v>
      </c>
      <c r="D352" s="1" t="s">
        <v>112</v>
      </c>
      <c r="E352" s="1" t="s">
        <v>110</v>
      </c>
      <c r="F352" s="1" t="s">
        <v>113</v>
      </c>
      <c r="G352" s="1" t="s">
        <v>107</v>
      </c>
      <c r="H352" s="1" t="s">
        <v>102</v>
      </c>
      <c r="I352" s="1" t="s">
        <v>104</v>
      </c>
      <c r="J352">
        <f t="shared" si="8"/>
        <v>0</v>
      </c>
      <c r="K352">
        <f>COUNTIFS(Grunnspill!$A:$A,Annex!B352)</f>
        <v>0</v>
      </c>
      <c r="L352">
        <f>COUNTIFS(Grunnspill!$A:$A,Annex!C352)</f>
        <v>0</v>
      </c>
      <c r="M352">
        <f>COUNTIFS(Grunnspill!$A:$A,Annex!D352)</f>
        <v>0</v>
      </c>
      <c r="N352">
        <f>COUNTIFS(Grunnspill!$A:$A,Annex!E352)</f>
        <v>0</v>
      </c>
      <c r="O352">
        <f>COUNTIFS(Grunnspill!$A:$A,Annex!F352)</f>
        <v>0</v>
      </c>
      <c r="P352">
        <f>COUNTIFS(Grunnspill!$A:$A,Annex!G352)</f>
        <v>0</v>
      </c>
      <c r="Q352">
        <f>COUNTIFS(Grunnspill!$A:$A,Annex!H352)</f>
        <v>0</v>
      </c>
      <c r="R352">
        <f>COUNTIFS(Grunnspill!$A:$A,Annex!I352)</f>
        <v>0</v>
      </c>
    </row>
    <row r="353" spans="1:18" x14ac:dyDescent="0.2">
      <c r="A353">
        <v>350</v>
      </c>
      <c r="B353" s="1" t="s">
        <v>102</v>
      </c>
      <c r="C353" s="1" t="s">
        <v>103</v>
      </c>
      <c r="D353" s="1" t="s">
        <v>112</v>
      </c>
      <c r="E353" s="1" t="s">
        <v>110</v>
      </c>
      <c r="F353" s="1" t="s">
        <v>113</v>
      </c>
      <c r="G353" s="1" t="s">
        <v>105</v>
      </c>
      <c r="H353" s="1" t="s">
        <v>108</v>
      </c>
      <c r="I353" s="1" t="s">
        <v>109</v>
      </c>
      <c r="J353">
        <f t="shared" si="8"/>
        <v>0</v>
      </c>
      <c r="K353">
        <f>COUNTIFS(Grunnspill!$A:$A,Annex!B353)</f>
        <v>0</v>
      </c>
      <c r="L353">
        <f>COUNTIFS(Grunnspill!$A:$A,Annex!C353)</f>
        <v>0</v>
      </c>
      <c r="M353">
        <f>COUNTIFS(Grunnspill!$A:$A,Annex!D353)</f>
        <v>0</v>
      </c>
      <c r="N353">
        <f>COUNTIFS(Grunnspill!$A:$A,Annex!E353)</f>
        <v>0</v>
      </c>
      <c r="O353">
        <f>COUNTIFS(Grunnspill!$A:$A,Annex!F353)</f>
        <v>0</v>
      </c>
      <c r="P353">
        <f>COUNTIFS(Grunnspill!$A:$A,Annex!G353)</f>
        <v>0</v>
      </c>
      <c r="Q353">
        <f>COUNTIFS(Grunnspill!$A:$A,Annex!H353)</f>
        <v>0</v>
      </c>
      <c r="R353">
        <f>COUNTIFS(Grunnspill!$A:$A,Annex!I353)</f>
        <v>0</v>
      </c>
    </row>
    <row r="354" spans="1:18" x14ac:dyDescent="0.2">
      <c r="A354">
        <v>351</v>
      </c>
      <c r="B354" s="1" t="s">
        <v>102</v>
      </c>
      <c r="C354" s="1" t="s">
        <v>104</v>
      </c>
      <c r="D354" s="1" t="s">
        <v>112</v>
      </c>
      <c r="E354" s="1" t="s">
        <v>110</v>
      </c>
      <c r="F354" s="1" t="s">
        <v>113</v>
      </c>
      <c r="G354" s="1" t="s">
        <v>105</v>
      </c>
      <c r="H354" s="1" t="s">
        <v>108</v>
      </c>
      <c r="I354" s="1" t="s">
        <v>109</v>
      </c>
      <c r="J354">
        <f t="shared" si="8"/>
        <v>0</v>
      </c>
      <c r="K354">
        <f>COUNTIFS(Grunnspill!$A:$A,Annex!B354)</f>
        <v>0</v>
      </c>
      <c r="L354">
        <f>COUNTIFS(Grunnspill!$A:$A,Annex!C354)</f>
        <v>0</v>
      </c>
      <c r="M354">
        <f>COUNTIFS(Grunnspill!$A:$A,Annex!D354)</f>
        <v>0</v>
      </c>
      <c r="N354">
        <f>COUNTIFS(Grunnspill!$A:$A,Annex!E354)</f>
        <v>0</v>
      </c>
      <c r="O354">
        <f>COUNTIFS(Grunnspill!$A:$A,Annex!F354)</f>
        <v>0</v>
      </c>
      <c r="P354">
        <f>COUNTIFS(Grunnspill!$A:$A,Annex!G354)</f>
        <v>0</v>
      </c>
      <c r="Q354">
        <f>COUNTIFS(Grunnspill!$A:$A,Annex!H354)</f>
        <v>0</v>
      </c>
      <c r="R354">
        <f>COUNTIFS(Grunnspill!$A:$A,Annex!I354)</f>
        <v>0</v>
      </c>
    </row>
    <row r="355" spans="1:18" x14ac:dyDescent="0.2">
      <c r="A355">
        <v>352</v>
      </c>
      <c r="B355" s="1" t="s">
        <v>102</v>
      </c>
      <c r="C355" s="1" t="s">
        <v>103</v>
      </c>
      <c r="D355" s="1" t="s">
        <v>112</v>
      </c>
      <c r="E355" s="1" t="s">
        <v>110</v>
      </c>
      <c r="F355" s="1" t="s">
        <v>113</v>
      </c>
      <c r="G355" s="1" t="s">
        <v>105</v>
      </c>
      <c r="H355" s="1" t="s">
        <v>108</v>
      </c>
      <c r="I355" s="1" t="s">
        <v>104</v>
      </c>
      <c r="J355">
        <f t="shared" si="8"/>
        <v>0</v>
      </c>
      <c r="K355">
        <f>COUNTIFS(Grunnspill!$A:$A,Annex!B355)</f>
        <v>0</v>
      </c>
      <c r="L355">
        <f>COUNTIFS(Grunnspill!$A:$A,Annex!C355)</f>
        <v>0</v>
      </c>
      <c r="M355">
        <f>COUNTIFS(Grunnspill!$A:$A,Annex!D355)</f>
        <v>0</v>
      </c>
      <c r="N355">
        <f>COUNTIFS(Grunnspill!$A:$A,Annex!E355)</f>
        <v>0</v>
      </c>
      <c r="O355">
        <f>COUNTIFS(Grunnspill!$A:$A,Annex!F355)</f>
        <v>0</v>
      </c>
      <c r="P355">
        <f>COUNTIFS(Grunnspill!$A:$A,Annex!G355)</f>
        <v>0</v>
      </c>
      <c r="Q355">
        <f>COUNTIFS(Grunnspill!$A:$A,Annex!H355)</f>
        <v>0</v>
      </c>
      <c r="R355">
        <f>COUNTIFS(Grunnspill!$A:$A,Annex!I355)</f>
        <v>0</v>
      </c>
    </row>
    <row r="356" spans="1:18" x14ac:dyDescent="0.2">
      <c r="A356">
        <v>353</v>
      </c>
      <c r="B356" s="1" t="s">
        <v>102</v>
      </c>
      <c r="C356" s="1" t="s">
        <v>103</v>
      </c>
      <c r="D356" s="1" t="s">
        <v>112</v>
      </c>
      <c r="E356" s="1" t="s">
        <v>110</v>
      </c>
      <c r="F356" s="1" t="s">
        <v>113</v>
      </c>
      <c r="G356" s="1" t="s">
        <v>105</v>
      </c>
      <c r="H356" s="1" t="s">
        <v>104</v>
      </c>
      <c r="I356" s="1" t="s">
        <v>109</v>
      </c>
      <c r="J356">
        <f t="shared" si="8"/>
        <v>0</v>
      </c>
      <c r="K356">
        <f>COUNTIFS(Grunnspill!$A:$A,Annex!B356)</f>
        <v>0</v>
      </c>
      <c r="L356">
        <f>COUNTIFS(Grunnspill!$A:$A,Annex!C356)</f>
        <v>0</v>
      </c>
      <c r="M356">
        <f>COUNTIFS(Grunnspill!$A:$A,Annex!D356)</f>
        <v>0</v>
      </c>
      <c r="N356">
        <f>COUNTIFS(Grunnspill!$A:$A,Annex!E356)</f>
        <v>0</v>
      </c>
      <c r="O356">
        <f>COUNTIFS(Grunnspill!$A:$A,Annex!F356)</f>
        <v>0</v>
      </c>
      <c r="P356">
        <f>COUNTIFS(Grunnspill!$A:$A,Annex!G356)</f>
        <v>0</v>
      </c>
      <c r="Q356">
        <f>COUNTIFS(Grunnspill!$A:$A,Annex!H356)</f>
        <v>0</v>
      </c>
      <c r="R356">
        <f>COUNTIFS(Grunnspill!$A:$A,Annex!I356)</f>
        <v>0</v>
      </c>
    </row>
    <row r="357" spans="1:18" x14ac:dyDescent="0.2">
      <c r="A357">
        <v>354</v>
      </c>
      <c r="B357" s="1" t="s">
        <v>106</v>
      </c>
      <c r="C357" s="1" t="s">
        <v>102</v>
      </c>
      <c r="D357" s="1" t="s">
        <v>112</v>
      </c>
      <c r="E357" s="1" t="s">
        <v>110</v>
      </c>
      <c r="F357" s="1" t="s">
        <v>113</v>
      </c>
      <c r="G357" s="1" t="s">
        <v>105</v>
      </c>
      <c r="H357" s="1" t="s">
        <v>108</v>
      </c>
      <c r="I357" s="1" t="s">
        <v>109</v>
      </c>
      <c r="J357">
        <f t="shared" si="8"/>
        <v>0</v>
      </c>
      <c r="K357">
        <f>COUNTIFS(Grunnspill!$A:$A,Annex!B357)</f>
        <v>0</v>
      </c>
      <c r="L357">
        <f>COUNTIFS(Grunnspill!$A:$A,Annex!C357)</f>
        <v>0</v>
      </c>
      <c r="M357">
        <f>COUNTIFS(Grunnspill!$A:$A,Annex!D357)</f>
        <v>0</v>
      </c>
      <c r="N357">
        <f>COUNTIFS(Grunnspill!$A:$A,Annex!E357)</f>
        <v>0</v>
      </c>
      <c r="O357">
        <f>COUNTIFS(Grunnspill!$A:$A,Annex!F357)</f>
        <v>0</v>
      </c>
      <c r="P357">
        <f>COUNTIFS(Grunnspill!$A:$A,Annex!G357)</f>
        <v>0</v>
      </c>
      <c r="Q357">
        <f>COUNTIFS(Grunnspill!$A:$A,Annex!H357)</f>
        <v>0</v>
      </c>
      <c r="R357">
        <f>COUNTIFS(Grunnspill!$A:$A,Annex!I357)</f>
        <v>0</v>
      </c>
    </row>
    <row r="358" spans="1:18" x14ac:dyDescent="0.2">
      <c r="A358">
        <v>355</v>
      </c>
      <c r="B358" s="1" t="s">
        <v>106</v>
      </c>
      <c r="C358" s="1" t="s">
        <v>103</v>
      </c>
      <c r="D358" s="1" t="s">
        <v>112</v>
      </c>
      <c r="E358" s="1" t="s">
        <v>110</v>
      </c>
      <c r="F358" s="1" t="s">
        <v>113</v>
      </c>
      <c r="G358" s="1" t="s">
        <v>105</v>
      </c>
      <c r="H358" s="1" t="s">
        <v>108</v>
      </c>
      <c r="I358" s="1" t="s">
        <v>102</v>
      </c>
      <c r="J358">
        <f t="shared" si="8"/>
        <v>0</v>
      </c>
      <c r="K358">
        <f>COUNTIFS(Grunnspill!$A:$A,Annex!B358)</f>
        <v>0</v>
      </c>
      <c r="L358">
        <f>COUNTIFS(Grunnspill!$A:$A,Annex!C358)</f>
        <v>0</v>
      </c>
      <c r="M358">
        <f>COUNTIFS(Grunnspill!$A:$A,Annex!D358)</f>
        <v>0</v>
      </c>
      <c r="N358">
        <f>COUNTIFS(Grunnspill!$A:$A,Annex!E358)</f>
        <v>0</v>
      </c>
      <c r="O358">
        <f>COUNTIFS(Grunnspill!$A:$A,Annex!F358)</f>
        <v>0</v>
      </c>
      <c r="P358">
        <f>COUNTIFS(Grunnspill!$A:$A,Annex!G358)</f>
        <v>0</v>
      </c>
      <c r="Q358">
        <f>COUNTIFS(Grunnspill!$A:$A,Annex!H358)</f>
        <v>0</v>
      </c>
      <c r="R358">
        <f>COUNTIFS(Grunnspill!$A:$A,Annex!I358)</f>
        <v>0</v>
      </c>
    </row>
    <row r="359" spans="1:18" x14ac:dyDescent="0.2">
      <c r="A359">
        <v>356</v>
      </c>
      <c r="B359" s="1" t="s">
        <v>106</v>
      </c>
      <c r="C359" s="1" t="s">
        <v>103</v>
      </c>
      <c r="D359" s="1" t="s">
        <v>112</v>
      </c>
      <c r="E359" s="1" t="s">
        <v>110</v>
      </c>
      <c r="F359" s="1" t="s">
        <v>113</v>
      </c>
      <c r="G359" s="1" t="s">
        <v>105</v>
      </c>
      <c r="H359" s="1" t="s">
        <v>102</v>
      </c>
      <c r="I359" s="1" t="s">
        <v>109</v>
      </c>
      <c r="J359">
        <f t="shared" si="8"/>
        <v>0</v>
      </c>
      <c r="K359">
        <f>COUNTIFS(Grunnspill!$A:$A,Annex!B359)</f>
        <v>0</v>
      </c>
      <c r="L359">
        <f>COUNTIFS(Grunnspill!$A:$A,Annex!C359)</f>
        <v>0</v>
      </c>
      <c r="M359">
        <f>COUNTIFS(Grunnspill!$A:$A,Annex!D359)</f>
        <v>0</v>
      </c>
      <c r="N359">
        <f>COUNTIFS(Grunnspill!$A:$A,Annex!E359)</f>
        <v>0</v>
      </c>
      <c r="O359">
        <f>COUNTIFS(Grunnspill!$A:$A,Annex!F359)</f>
        <v>0</v>
      </c>
      <c r="P359">
        <f>COUNTIFS(Grunnspill!$A:$A,Annex!G359)</f>
        <v>0</v>
      </c>
      <c r="Q359">
        <f>COUNTIFS(Grunnspill!$A:$A,Annex!H359)</f>
        <v>0</v>
      </c>
      <c r="R359">
        <f>COUNTIFS(Grunnspill!$A:$A,Annex!I359)</f>
        <v>0</v>
      </c>
    </row>
    <row r="360" spans="1:18" x14ac:dyDescent="0.2">
      <c r="A360">
        <v>357</v>
      </c>
      <c r="B360" s="1" t="s">
        <v>106</v>
      </c>
      <c r="C360" s="1" t="s">
        <v>102</v>
      </c>
      <c r="D360" s="1" t="s">
        <v>112</v>
      </c>
      <c r="E360" s="1" t="s">
        <v>110</v>
      </c>
      <c r="F360" s="1" t="s">
        <v>113</v>
      </c>
      <c r="G360" s="1" t="s">
        <v>105</v>
      </c>
      <c r="H360" s="1" t="s">
        <v>108</v>
      </c>
      <c r="I360" s="1" t="s">
        <v>104</v>
      </c>
      <c r="J360">
        <f t="shared" si="8"/>
        <v>0</v>
      </c>
      <c r="K360">
        <f>COUNTIFS(Grunnspill!$A:$A,Annex!B360)</f>
        <v>0</v>
      </c>
      <c r="L360">
        <f>COUNTIFS(Grunnspill!$A:$A,Annex!C360)</f>
        <v>0</v>
      </c>
      <c r="M360">
        <f>COUNTIFS(Grunnspill!$A:$A,Annex!D360)</f>
        <v>0</v>
      </c>
      <c r="N360">
        <f>COUNTIFS(Grunnspill!$A:$A,Annex!E360)</f>
        <v>0</v>
      </c>
      <c r="O360">
        <f>COUNTIFS(Grunnspill!$A:$A,Annex!F360)</f>
        <v>0</v>
      </c>
      <c r="P360">
        <f>COUNTIFS(Grunnspill!$A:$A,Annex!G360)</f>
        <v>0</v>
      </c>
      <c r="Q360">
        <f>COUNTIFS(Grunnspill!$A:$A,Annex!H360)</f>
        <v>0</v>
      </c>
      <c r="R360">
        <f>COUNTIFS(Grunnspill!$A:$A,Annex!I360)</f>
        <v>0</v>
      </c>
    </row>
    <row r="361" spans="1:18" x14ac:dyDescent="0.2">
      <c r="A361">
        <v>358</v>
      </c>
      <c r="B361" s="1" t="s">
        <v>106</v>
      </c>
      <c r="C361" s="1" t="s">
        <v>102</v>
      </c>
      <c r="D361" s="1" t="s">
        <v>112</v>
      </c>
      <c r="E361" s="1" t="s">
        <v>110</v>
      </c>
      <c r="F361" s="1" t="s">
        <v>113</v>
      </c>
      <c r="G361" s="1" t="s">
        <v>105</v>
      </c>
      <c r="H361" s="1" t="s">
        <v>104</v>
      </c>
      <c r="I361" s="1" t="s">
        <v>109</v>
      </c>
      <c r="J361">
        <f t="shared" si="8"/>
        <v>0</v>
      </c>
      <c r="K361">
        <f>COUNTIFS(Grunnspill!$A:$A,Annex!B361)</f>
        <v>0</v>
      </c>
      <c r="L361">
        <f>COUNTIFS(Grunnspill!$A:$A,Annex!C361)</f>
        <v>0</v>
      </c>
      <c r="M361">
        <f>COUNTIFS(Grunnspill!$A:$A,Annex!D361)</f>
        <v>0</v>
      </c>
      <c r="N361">
        <f>COUNTIFS(Grunnspill!$A:$A,Annex!E361)</f>
        <v>0</v>
      </c>
      <c r="O361">
        <f>COUNTIFS(Grunnspill!$A:$A,Annex!F361)</f>
        <v>0</v>
      </c>
      <c r="P361">
        <f>COUNTIFS(Grunnspill!$A:$A,Annex!G361)</f>
        <v>0</v>
      </c>
      <c r="Q361">
        <f>COUNTIFS(Grunnspill!$A:$A,Annex!H361)</f>
        <v>0</v>
      </c>
      <c r="R361">
        <f>COUNTIFS(Grunnspill!$A:$A,Annex!I361)</f>
        <v>0</v>
      </c>
    </row>
    <row r="362" spans="1:18" x14ac:dyDescent="0.2">
      <c r="A362">
        <v>359</v>
      </c>
      <c r="B362" s="1" t="s">
        <v>106</v>
      </c>
      <c r="C362" s="1" t="s">
        <v>103</v>
      </c>
      <c r="D362" s="1" t="s">
        <v>112</v>
      </c>
      <c r="E362" s="1" t="s">
        <v>110</v>
      </c>
      <c r="F362" s="1" t="s">
        <v>113</v>
      </c>
      <c r="G362" s="1" t="s">
        <v>105</v>
      </c>
      <c r="H362" s="1" t="s">
        <v>102</v>
      </c>
      <c r="I362" s="1" t="s">
        <v>104</v>
      </c>
      <c r="J362">
        <f t="shared" si="8"/>
        <v>0</v>
      </c>
      <c r="K362">
        <f>COUNTIFS(Grunnspill!$A:$A,Annex!B362)</f>
        <v>0</v>
      </c>
      <c r="L362">
        <f>COUNTIFS(Grunnspill!$A:$A,Annex!C362)</f>
        <v>0</v>
      </c>
      <c r="M362">
        <f>COUNTIFS(Grunnspill!$A:$A,Annex!D362)</f>
        <v>0</v>
      </c>
      <c r="N362">
        <f>COUNTIFS(Grunnspill!$A:$A,Annex!E362)</f>
        <v>0</v>
      </c>
      <c r="O362">
        <f>COUNTIFS(Grunnspill!$A:$A,Annex!F362)</f>
        <v>0</v>
      </c>
      <c r="P362">
        <f>COUNTIFS(Grunnspill!$A:$A,Annex!G362)</f>
        <v>0</v>
      </c>
      <c r="Q362">
        <f>COUNTIFS(Grunnspill!$A:$A,Annex!H362)</f>
        <v>0</v>
      </c>
      <c r="R362">
        <f>COUNTIFS(Grunnspill!$A:$A,Annex!I362)</f>
        <v>0</v>
      </c>
    </row>
    <row r="363" spans="1:18" x14ac:dyDescent="0.2">
      <c r="A363">
        <v>360</v>
      </c>
      <c r="B363" s="1" t="s">
        <v>102</v>
      </c>
      <c r="C363" s="1" t="s">
        <v>107</v>
      </c>
      <c r="D363" s="1" t="s">
        <v>112</v>
      </c>
      <c r="E363" s="1" t="s">
        <v>110</v>
      </c>
      <c r="F363" s="1" t="s">
        <v>113</v>
      </c>
      <c r="G363" s="1" t="s">
        <v>105</v>
      </c>
      <c r="H363" s="1" t="s">
        <v>108</v>
      </c>
      <c r="I363" s="1" t="s">
        <v>109</v>
      </c>
      <c r="J363">
        <f t="shared" si="8"/>
        <v>0</v>
      </c>
      <c r="K363">
        <f>COUNTIFS(Grunnspill!$A:$A,Annex!B363)</f>
        <v>0</v>
      </c>
      <c r="L363">
        <f>COUNTIFS(Grunnspill!$A:$A,Annex!C363)</f>
        <v>0</v>
      </c>
      <c r="M363">
        <f>COUNTIFS(Grunnspill!$A:$A,Annex!D363)</f>
        <v>0</v>
      </c>
      <c r="N363">
        <f>COUNTIFS(Grunnspill!$A:$A,Annex!E363)</f>
        <v>0</v>
      </c>
      <c r="O363">
        <f>COUNTIFS(Grunnspill!$A:$A,Annex!F363)</f>
        <v>0</v>
      </c>
      <c r="P363">
        <f>COUNTIFS(Grunnspill!$A:$A,Annex!G363)</f>
        <v>0</v>
      </c>
      <c r="Q363">
        <f>COUNTIFS(Grunnspill!$A:$A,Annex!H363)</f>
        <v>0</v>
      </c>
      <c r="R363">
        <f>COUNTIFS(Grunnspill!$A:$A,Annex!I363)</f>
        <v>0</v>
      </c>
    </row>
    <row r="364" spans="1:18" x14ac:dyDescent="0.2">
      <c r="A364">
        <v>361</v>
      </c>
      <c r="B364" s="1" t="s">
        <v>102</v>
      </c>
      <c r="C364" s="1" t="s">
        <v>107</v>
      </c>
      <c r="D364" s="1" t="s">
        <v>112</v>
      </c>
      <c r="E364" s="1" t="s">
        <v>110</v>
      </c>
      <c r="F364" s="1" t="s">
        <v>113</v>
      </c>
      <c r="G364" s="1" t="s">
        <v>105</v>
      </c>
      <c r="H364" s="1" t="s">
        <v>108</v>
      </c>
      <c r="I364" s="1" t="s">
        <v>103</v>
      </c>
      <c r="J364">
        <f t="shared" si="8"/>
        <v>0</v>
      </c>
      <c r="K364">
        <f>COUNTIFS(Grunnspill!$A:$A,Annex!B364)</f>
        <v>0</v>
      </c>
      <c r="L364">
        <f>COUNTIFS(Grunnspill!$A:$A,Annex!C364)</f>
        <v>0</v>
      </c>
      <c r="M364">
        <f>COUNTIFS(Grunnspill!$A:$A,Annex!D364)</f>
        <v>0</v>
      </c>
      <c r="N364">
        <f>COUNTIFS(Grunnspill!$A:$A,Annex!E364)</f>
        <v>0</v>
      </c>
      <c r="O364">
        <f>COUNTIFS(Grunnspill!$A:$A,Annex!F364)</f>
        <v>0</v>
      </c>
      <c r="P364">
        <f>COUNTIFS(Grunnspill!$A:$A,Annex!G364)</f>
        <v>0</v>
      </c>
      <c r="Q364">
        <f>COUNTIFS(Grunnspill!$A:$A,Annex!H364)</f>
        <v>0</v>
      </c>
      <c r="R364">
        <f>COUNTIFS(Grunnspill!$A:$A,Annex!I364)</f>
        <v>0</v>
      </c>
    </row>
    <row r="365" spans="1:18" x14ac:dyDescent="0.2">
      <c r="A365">
        <v>362</v>
      </c>
      <c r="B365" s="1" t="s">
        <v>102</v>
      </c>
      <c r="C365" s="1" t="s">
        <v>107</v>
      </c>
      <c r="D365" s="1" t="s">
        <v>112</v>
      </c>
      <c r="E365" s="1" t="s">
        <v>110</v>
      </c>
      <c r="F365" s="1" t="s">
        <v>113</v>
      </c>
      <c r="G365" s="1" t="s">
        <v>105</v>
      </c>
      <c r="H365" s="1" t="s">
        <v>103</v>
      </c>
      <c r="I365" s="1" t="s">
        <v>109</v>
      </c>
      <c r="J365">
        <f t="shared" si="8"/>
        <v>0</v>
      </c>
      <c r="K365">
        <f>COUNTIFS(Grunnspill!$A:$A,Annex!B365)</f>
        <v>0</v>
      </c>
      <c r="L365">
        <f>COUNTIFS(Grunnspill!$A:$A,Annex!C365)</f>
        <v>0</v>
      </c>
      <c r="M365">
        <f>COUNTIFS(Grunnspill!$A:$A,Annex!D365)</f>
        <v>0</v>
      </c>
      <c r="N365">
        <f>COUNTIFS(Grunnspill!$A:$A,Annex!E365)</f>
        <v>0</v>
      </c>
      <c r="O365">
        <f>COUNTIFS(Grunnspill!$A:$A,Annex!F365)</f>
        <v>0</v>
      </c>
      <c r="P365">
        <f>COUNTIFS(Grunnspill!$A:$A,Annex!G365)</f>
        <v>0</v>
      </c>
      <c r="Q365">
        <f>COUNTIFS(Grunnspill!$A:$A,Annex!H365)</f>
        <v>0</v>
      </c>
      <c r="R365">
        <f>COUNTIFS(Grunnspill!$A:$A,Annex!I365)</f>
        <v>0</v>
      </c>
    </row>
    <row r="366" spans="1:18" x14ac:dyDescent="0.2">
      <c r="A366">
        <v>363</v>
      </c>
      <c r="B366" s="1" t="s">
        <v>102</v>
      </c>
      <c r="C366" s="1" t="s">
        <v>107</v>
      </c>
      <c r="D366" s="1" t="s">
        <v>112</v>
      </c>
      <c r="E366" s="1" t="s">
        <v>110</v>
      </c>
      <c r="F366" s="1" t="s">
        <v>113</v>
      </c>
      <c r="G366" s="1" t="s">
        <v>105</v>
      </c>
      <c r="H366" s="1" t="s">
        <v>108</v>
      </c>
      <c r="I366" s="1" t="s">
        <v>104</v>
      </c>
      <c r="J366">
        <f t="shared" si="8"/>
        <v>0</v>
      </c>
      <c r="K366">
        <f>COUNTIFS(Grunnspill!$A:$A,Annex!B366)</f>
        <v>0</v>
      </c>
      <c r="L366">
        <f>COUNTIFS(Grunnspill!$A:$A,Annex!C366)</f>
        <v>0</v>
      </c>
      <c r="M366">
        <f>COUNTIFS(Grunnspill!$A:$A,Annex!D366)</f>
        <v>0</v>
      </c>
      <c r="N366">
        <f>COUNTIFS(Grunnspill!$A:$A,Annex!E366)</f>
        <v>0</v>
      </c>
      <c r="O366">
        <f>COUNTIFS(Grunnspill!$A:$A,Annex!F366)</f>
        <v>0</v>
      </c>
      <c r="P366">
        <f>COUNTIFS(Grunnspill!$A:$A,Annex!G366)</f>
        <v>0</v>
      </c>
      <c r="Q366">
        <f>COUNTIFS(Grunnspill!$A:$A,Annex!H366)</f>
        <v>0</v>
      </c>
      <c r="R366">
        <f>COUNTIFS(Grunnspill!$A:$A,Annex!I366)</f>
        <v>0</v>
      </c>
    </row>
    <row r="367" spans="1:18" x14ac:dyDescent="0.2">
      <c r="A367">
        <v>364</v>
      </c>
      <c r="B367" s="1" t="s">
        <v>102</v>
      </c>
      <c r="C367" s="1" t="s">
        <v>107</v>
      </c>
      <c r="D367" s="1" t="s">
        <v>112</v>
      </c>
      <c r="E367" s="1" t="s">
        <v>110</v>
      </c>
      <c r="F367" s="1" t="s">
        <v>113</v>
      </c>
      <c r="G367" s="1" t="s">
        <v>105</v>
      </c>
      <c r="H367" s="1" t="s">
        <v>104</v>
      </c>
      <c r="I367" s="1" t="s">
        <v>109</v>
      </c>
      <c r="J367">
        <f t="shared" si="8"/>
        <v>0</v>
      </c>
      <c r="K367">
        <f>COUNTIFS(Grunnspill!$A:$A,Annex!B367)</f>
        <v>0</v>
      </c>
      <c r="L367">
        <f>COUNTIFS(Grunnspill!$A:$A,Annex!C367)</f>
        <v>0</v>
      </c>
      <c r="M367">
        <f>COUNTIFS(Grunnspill!$A:$A,Annex!D367)</f>
        <v>0</v>
      </c>
      <c r="N367">
        <f>COUNTIFS(Grunnspill!$A:$A,Annex!E367)</f>
        <v>0</v>
      </c>
      <c r="O367">
        <f>COUNTIFS(Grunnspill!$A:$A,Annex!F367)</f>
        <v>0</v>
      </c>
      <c r="P367">
        <f>COUNTIFS(Grunnspill!$A:$A,Annex!G367)</f>
        <v>0</v>
      </c>
      <c r="Q367">
        <f>COUNTIFS(Grunnspill!$A:$A,Annex!H367)</f>
        <v>0</v>
      </c>
      <c r="R367">
        <f>COUNTIFS(Grunnspill!$A:$A,Annex!I367)</f>
        <v>0</v>
      </c>
    </row>
    <row r="368" spans="1:18" x14ac:dyDescent="0.2">
      <c r="A368">
        <v>365</v>
      </c>
      <c r="B368" s="1" t="s">
        <v>102</v>
      </c>
      <c r="C368" s="1" t="s">
        <v>107</v>
      </c>
      <c r="D368" s="1" t="s">
        <v>112</v>
      </c>
      <c r="E368" s="1" t="s">
        <v>110</v>
      </c>
      <c r="F368" s="1" t="s">
        <v>113</v>
      </c>
      <c r="G368" s="1" t="s">
        <v>105</v>
      </c>
      <c r="H368" s="1" t="s">
        <v>104</v>
      </c>
      <c r="I368" s="1" t="s">
        <v>103</v>
      </c>
      <c r="J368">
        <f t="shared" si="8"/>
        <v>0</v>
      </c>
      <c r="K368">
        <f>COUNTIFS(Grunnspill!$A:$A,Annex!B368)</f>
        <v>0</v>
      </c>
      <c r="L368">
        <f>COUNTIFS(Grunnspill!$A:$A,Annex!C368)</f>
        <v>0</v>
      </c>
      <c r="M368">
        <f>COUNTIFS(Grunnspill!$A:$A,Annex!D368)</f>
        <v>0</v>
      </c>
      <c r="N368">
        <f>COUNTIFS(Grunnspill!$A:$A,Annex!E368)</f>
        <v>0</v>
      </c>
      <c r="O368">
        <f>COUNTIFS(Grunnspill!$A:$A,Annex!F368)</f>
        <v>0</v>
      </c>
      <c r="P368">
        <f>COUNTIFS(Grunnspill!$A:$A,Annex!G368)</f>
        <v>0</v>
      </c>
      <c r="Q368">
        <f>COUNTIFS(Grunnspill!$A:$A,Annex!H368)</f>
        <v>0</v>
      </c>
      <c r="R368">
        <f>COUNTIFS(Grunnspill!$A:$A,Annex!I368)</f>
        <v>0</v>
      </c>
    </row>
    <row r="369" spans="1:18" x14ac:dyDescent="0.2">
      <c r="A369">
        <v>366</v>
      </c>
      <c r="B369" s="1" t="s">
        <v>106</v>
      </c>
      <c r="C369" s="1" t="s">
        <v>107</v>
      </c>
      <c r="D369" s="1" t="s">
        <v>112</v>
      </c>
      <c r="E369" s="1" t="s">
        <v>110</v>
      </c>
      <c r="F369" s="1" t="s">
        <v>113</v>
      </c>
      <c r="G369" s="1" t="s">
        <v>105</v>
      </c>
      <c r="H369" s="1" t="s">
        <v>108</v>
      </c>
      <c r="I369" s="1" t="s">
        <v>102</v>
      </c>
      <c r="J369">
        <f t="shared" si="8"/>
        <v>0</v>
      </c>
      <c r="K369">
        <f>COUNTIFS(Grunnspill!$A:$A,Annex!B369)</f>
        <v>0</v>
      </c>
      <c r="L369">
        <f>COUNTIFS(Grunnspill!$A:$A,Annex!C369)</f>
        <v>0</v>
      </c>
      <c r="M369">
        <f>COUNTIFS(Grunnspill!$A:$A,Annex!D369)</f>
        <v>0</v>
      </c>
      <c r="N369">
        <f>COUNTIFS(Grunnspill!$A:$A,Annex!E369)</f>
        <v>0</v>
      </c>
      <c r="O369">
        <f>COUNTIFS(Grunnspill!$A:$A,Annex!F369)</f>
        <v>0</v>
      </c>
      <c r="P369">
        <f>COUNTIFS(Grunnspill!$A:$A,Annex!G369)</f>
        <v>0</v>
      </c>
      <c r="Q369">
        <f>COUNTIFS(Grunnspill!$A:$A,Annex!H369)</f>
        <v>0</v>
      </c>
      <c r="R369">
        <f>COUNTIFS(Grunnspill!$A:$A,Annex!I369)</f>
        <v>0</v>
      </c>
    </row>
    <row r="370" spans="1:18" x14ac:dyDescent="0.2">
      <c r="A370">
        <v>367</v>
      </c>
      <c r="B370" s="1" t="s">
        <v>106</v>
      </c>
      <c r="C370" s="1" t="s">
        <v>107</v>
      </c>
      <c r="D370" s="1" t="s">
        <v>112</v>
      </c>
      <c r="E370" s="1" t="s">
        <v>110</v>
      </c>
      <c r="F370" s="1" t="s">
        <v>113</v>
      </c>
      <c r="G370" s="1" t="s">
        <v>105</v>
      </c>
      <c r="H370" s="1" t="s">
        <v>102</v>
      </c>
      <c r="I370" s="1" t="s">
        <v>109</v>
      </c>
      <c r="J370">
        <f t="shared" si="8"/>
        <v>0</v>
      </c>
      <c r="K370">
        <f>COUNTIFS(Grunnspill!$A:$A,Annex!B370)</f>
        <v>0</v>
      </c>
      <c r="L370">
        <f>COUNTIFS(Grunnspill!$A:$A,Annex!C370)</f>
        <v>0</v>
      </c>
      <c r="M370">
        <f>COUNTIFS(Grunnspill!$A:$A,Annex!D370)</f>
        <v>0</v>
      </c>
      <c r="N370">
        <f>COUNTIFS(Grunnspill!$A:$A,Annex!E370)</f>
        <v>0</v>
      </c>
      <c r="O370">
        <f>COUNTIFS(Grunnspill!$A:$A,Annex!F370)</f>
        <v>0</v>
      </c>
      <c r="P370">
        <f>COUNTIFS(Grunnspill!$A:$A,Annex!G370)</f>
        <v>0</v>
      </c>
      <c r="Q370">
        <f>COUNTIFS(Grunnspill!$A:$A,Annex!H370)</f>
        <v>0</v>
      </c>
      <c r="R370">
        <f>COUNTIFS(Grunnspill!$A:$A,Annex!I370)</f>
        <v>0</v>
      </c>
    </row>
    <row r="371" spans="1:18" x14ac:dyDescent="0.2">
      <c r="A371">
        <v>368</v>
      </c>
      <c r="B371" s="1" t="s">
        <v>106</v>
      </c>
      <c r="C371" s="1" t="s">
        <v>107</v>
      </c>
      <c r="D371" s="1" t="s">
        <v>112</v>
      </c>
      <c r="E371" s="1" t="s">
        <v>110</v>
      </c>
      <c r="F371" s="1" t="s">
        <v>113</v>
      </c>
      <c r="G371" s="1" t="s">
        <v>105</v>
      </c>
      <c r="H371" s="1" t="s">
        <v>102</v>
      </c>
      <c r="I371" s="1" t="s">
        <v>103</v>
      </c>
      <c r="J371">
        <f t="shared" si="8"/>
        <v>0</v>
      </c>
      <c r="K371">
        <f>COUNTIFS(Grunnspill!$A:$A,Annex!B371)</f>
        <v>0</v>
      </c>
      <c r="L371">
        <f>COUNTIFS(Grunnspill!$A:$A,Annex!C371)</f>
        <v>0</v>
      </c>
      <c r="M371">
        <f>COUNTIFS(Grunnspill!$A:$A,Annex!D371)</f>
        <v>0</v>
      </c>
      <c r="N371">
        <f>COUNTIFS(Grunnspill!$A:$A,Annex!E371)</f>
        <v>0</v>
      </c>
      <c r="O371">
        <f>COUNTIFS(Grunnspill!$A:$A,Annex!F371)</f>
        <v>0</v>
      </c>
      <c r="P371">
        <f>COUNTIFS(Grunnspill!$A:$A,Annex!G371)</f>
        <v>0</v>
      </c>
      <c r="Q371">
        <f>COUNTIFS(Grunnspill!$A:$A,Annex!H371)</f>
        <v>0</v>
      </c>
      <c r="R371">
        <f>COUNTIFS(Grunnspill!$A:$A,Annex!I371)</f>
        <v>0</v>
      </c>
    </row>
    <row r="372" spans="1:18" x14ac:dyDescent="0.2">
      <c r="A372">
        <v>369</v>
      </c>
      <c r="B372" s="1" t="s">
        <v>106</v>
      </c>
      <c r="C372" s="1" t="s">
        <v>107</v>
      </c>
      <c r="D372" s="1" t="s">
        <v>112</v>
      </c>
      <c r="E372" s="1" t="s">
        <v>110</v>
      </c>
      <c r="F372" s="1" t="s">
        <v>113</v>
      </c>
      <c r="G372" s="1" t="s">
        <v>105</v>
      </c>
      <c r="H372" s="1" t="s">
        <v>102</v>
      </c>
      <c r="I372" s="1" t="s">
        <v>104</v>
      </c>
      <c r="J372">
        <f t="shared" si="8"/>
        <v>0</v>
      </c>
      <c r="K372">
        <f>COUNTIFS(Grunnspill!$A:$A,Annex!B372)</f>
        <v>0</v>
      </c>
      <c r="L372">
        <f>COUNTIFS(Grunnspill!$A:$A,Annex!C372)</f>
        <v>0</v>
      </c>
      <c r="M372">
        <f>COUNTIFS(Grunnspill!$A:$A,Annex!D372)</f>
        <v>0</v>
      </c>
      <c r="N372">
        <f>COUNTIFS(Grunnspill!$A:$A,Annex!E372)</f>
        <v>0</v>
      </c>
      <c r="O372">
        <f>COUNTIFS(Grunnspill!$A:$A,Annex!F372)</f>
        <v>0</v>
      </c>
      <c r="P372">
        <f>COUNTIFS(Grunnspill!$A:$A,Annex!G372)</f>
        <v>0</v>
      </c>
      <c r="Q372">
        <f>COUNTIFS(Grunnspill!$A:$A,Annex!H372)</f>
        <v>0</v>
      </c>
      <c r="R372">
        <f>COUNTIFS(Grunnspill!$A:$A,Annex!I372)</f>
        <v>0</v>
      </c>
    </row>
    <row r="373" spans="1:18" x14ac:dyDescent="0.2">
      <c r="A373">
        <v>370</v>
      </c>
      <c r="B373" s="1" t="s">
        <v>104</v>
      </c>
      <c r="C373" s="1" t="s">
        <v>103</v>
      </c>
      <c r="D373" s="1" t="s">
        <v>112</v>
      </c>
      <c r="E373" s="1" t="s">
        <v>111</v>
      </c>
      <c r="F373" s="1" t="s">
        <v>113</v>
      </c>
      <c r="G373" s="1" t="s">
        <v>106</v>
      </c>
      <c r="H373" s="1" t="s">
        <v>108</v>
      </c>
      <c r="I373" s="1" t="s">
        <v>109</v>
      </c>
      <c r="J373">
        <f t="shared" si="8"/>
        <v>0</v>
      </c>
      <c r="K373">
        <f>COUNTIFS(Grunnspill!$A:$A,Annex!B373)</f>
        <v>0</v>
      </c>
      <c r="L373">
        <f>COUNTIFS(Grunnspill!$A:$A,Annex!C373)</f>
        <v>0</v>
      </c>
      <c r="M373">
        <f>COUNTIFS(Grunnspill!$A:$A,Annex!D373)</f>
        <v>0</v>
      </c>
      <c r="N373">
        <f>COUNTIFS(Grunnspill!$A:$A,Annex!E373)</f>
        <v>0</v>
      </c>
      <c r="O373">
        <f>COUNTIFS(Grunnspill!$A:$A,Annex!F373)</f>
        <v>0</v>
      </c>
      <c r="P373">
        <f>COUNTIFS(Grunnspill!$A:$A,Annex!G373)</f>
        <v>0</v>
      </c>
      <c r="Q373">
        <f>COUNTIFS(Grunnspill!$A:$A,Annex!H373)</f>
        <v>0</v>
      </c>
      <c r="R373">
        <f>COUNTIFS(Grunnspill!$A:$A,Annex!I373)</f>
        <v>0</v>
      </c>
    </row>
    <row r="374" spans="1:18" x14ac:dyDescent="0.2">
      <c r="A374">
        <v>371</v>
      </c>
      <c r="B374" s="1" t="s">
        <v>104</v>
      </c>
      <c r="C374" s="1" t="s">
        <v>103</v>
      </c>
      <c r="D374" s="1" t="s">
        <v>112</v>
      </c>
      <c r="E374" s="1" t="s">
        <v>111</v>
      </c>
      <c r="F374" s="1" t="s">
        <v>113</v>
      </c>
      <c r="G374" s="1" t="s">
        <v>107</v>
      </c>
      <c r="H374" s="1" t="s">
        <v>108</v>
      </c>
      <c r="I374" s="1" t="s">
        <v>109</v>
      </c>
      <c r="J374">
        <f t="shared" si="8"/>
        <v>0</v>
      </c>
      <c r="K374">
        <f>COUNTIFS(Grunnspill!$A:$A,Annex!B374)</f>
        <v>0</v>
      </c>
      <c r="L374">
        <f>COUNTIFS(Grunnspill!$A:$A,Annex!C374)</f>
        <v>0</v>
      </c>
      <c r="M374">
        <f>COUNTIFS(Grunnspill!$A:$A,Annex!D374)</f>
        <v>0</v>
      </c>
      <c r="N374">
        <f>COUNTIFS(Grunnspill!$A:$A,Annex!E374)</f>
        <v>0</v>
      </c>
      <c r="O374">
        <f>COUNTIFS(Grunnspill!$A:$A,Annex!F374)</f>
        <v>0</v>
      </c>
      <c r="P374">
        <f>COUNTIFS(Grunnspill!$A:$A,Annex!G374)</f>
        <v>0</v>
      </c>
      <c r="Q374">
        <f>COUNTIFS(Grunnspill!$A:$A,Annex!H374)</f>
        <v>0</v>
      </c>
      <c r="R374">
        <f>COUNTIFS(Grunnspill!$A:$A,Annex!I374)</f>
        <v>0</v>
      </c>
    </row>
    <row r="375" spans="1:18" x14ac:dyDescent="0.2">
      <c r="A375">
        <v>372</v>
      </c>
      <c r="B375" s="1" t="s">
        <v>106</v>
      </c>
      <c r="C375" s="1" t="s">
        <v>103</v>
      </c>
      <c r="D375" s="1" t="s">
        <v>112</v>
      </c>
      <c r="E375" s="1" t="s">
        <v>111</v>
      </c>
      <c r="F375" s="1" t="s">
        <v>113</v>
      </c>
      <c r="G375" s="1" t="s">
        <v>107</v>
      </c>
      <c r="H375" s="1" t="s">
        <v>108</v>
      </c>
      <c r="I375" s="1" t="s">
        <v>109</v>
      </c>
      <c r="J375">
        <f t="shared" si="8"/>
        <v>0</v>
      </c>
      <c r="K375">
        <f>COUNTIFS(Grunnspill!$A:$A,Annex!B375)</f>
        <v>0</v>
      </c>
      <c r="L375">
        <f>COUNTIFS(Grunnspill!$A:$A,Annex!C375)</f>
        <v>0</v>
      </c>
      <c r="M375">
        <f>COUNTIFS(Grunnspill!$A:$A,Annex!D375)</f>
        <v>0</v>
      </c>
      <c r="N375">
        <f>COUNTIFS(Grunnspill!$A:$A,Annex!E375)</f>
        <v>0</v>
      </c>
      <c r="O375">
        <f>COUNTIFS(Grunnspill!$A:$A,Annex!F375)</f>
        <v>0</v>
      </c>
      <c r="P375">
        <f>COUNTIFS(Grunnspill!$A:$A,Annex!G375)</f>
        <v>0</v>
      </c>
      <c r="Q375">
        <f>COUNTIFS(Grunnspill!$A:$A,Annex!H375)</f>
        <v>0</v>
      </c>
      <c r="R375">
        <f>COUNTIFS(Grunnspill!$A:$A,Annex!I375)</f>
        <v>0</v>
      </c>
    </row>
    <row r="376" spans="1:18" x14ac:dyDescent="0.2">
      <c r="A376">
        <v>373</v>
      </c>
      <c r="B376" s="1" t="s">
        <v>104</v>
      </c>
      <c r="C376" s="1" t="s">
        <v>107</v>
      </c>
      <c r="D376" s="1" t="s">
        <v>112</v>
      </c>
      <c r="E376" s="1" t="s">
        <v>111</v>
      </c>
      <c r="F376" s="1" t="s">
        <v>113</v>
      </c>
      <c r="G376" s="1" t="s">
        <v>106</v>
      </c>
      <c r="H376" s="1" t="s">
        <v>108</v>
      </c>
      <c r="I376" s="1" t="s">
        <v>109</v>
      </c>
      <c r="J376">
        <f t="shared" si="8"/>
        <v>0</v>
      </c>
      <c r="K376">
        <f>COUNTIFS(Grunnspill!$A:$A,Annex!B376)</f>
        <v>0</v>
      </c>
      <c r="L376">
        <f>COUNTIFS(Grunnspill!$A:$A,Annex!C376)</f>
        <v>0</v>
      </c>
      <c r="M376">
        <f>COUNTIFS(Grunnspill!$A:$A,Annex!D376)</f>
        <v>0</v>
      </c>
      <c r="N376">
        <f>COUNTIFS(Grunnspill!$A:$A,Annex!E376)</f>
        <v>0</v>
      </c>
      <c r="O376">
        <f>COUNTIFS(Grunnspill!$A:$A,Annex!F376)</f>
        <v>0</v>
      </c>
      <c r="P376">
        <f>COUNTIFS(Grunnspill!$A:$A,Annex!G376)</f>
        <v>0</v>
      </c>
      <c r="Q376">
        <f>COUNTIFS(Grunnspill!$A:$A,Annex!H376)</f>
        <v>0</v>
      </c>
      <c r="R376">
        <f>COUNTIFS(Grunnspill!$A:$A,Annex!I376)</f>
        <v>0</v>
      </c>
    </row>
    <row r="377" spans="1:18" x14ac:dyDescent="0.2">
      <c r="A377">
        <v>374</v>
      </c>
      <c r="B377" s="1" t="s">
        <v>106</v>
      </c>
      <c r="C377" s="1" t="s">
        <v>103</v>
      </c>
      <c r="D377" s="1" t="s">
        <v>112</v>
      </c>
      <c r="E377" s="1" t="s">
        <v>111</v>
      </c>
      <c r="F377" s="1" t="s">
        <v>113</v>
      </c>
      <c r="G377" s="1" t="s">
        <v>107</v>
      </c>
      <c r="H377" s="1" t="s">
        <v>108</v>
      </c>
      <c r="I377" s="1" t="s">
        <v>104</v>
      </c>
      <c r="J377">
        <f t="shared" si="8"/>
        <v>0</v>
      </c>
      <c r="K377">
        <f>COUNTIFS(Grunnspill!$A:$A,Annex!B377)</f>
        <v>0</v>
      </c>
      <c r="L377">
        <f>COUNTIFS(Grunnspill!$A:$A,Annex!C377)</f>
        <v>0</v>
      </c>
      <c r="M377">
        <f>COUNTIFS(Grunnspill!$A:$A,Annex!D377)</f>
        <v>0</v>
      </c>
      <c r="N377">
        <f>COUNTIFS(Grunnspill!$A:$A,Annex!E377)</f>
        <v>0</v>
      </c>
      <c r="O377">
        <f>COUNTIFS(Grunnspill!$A:$A,Annex!F377)</f>
        <v>0</v>
      </c>
      <c r="P377">
        <f>COUNTIFS(Grunnspill!$A:$A,Annex!G377)</f>
        <v>0</v>
      </c>
      <c r="Q377">
        <f>COUNTIFS(Grunnspill!$A:$A,Annex!H377)</f>
        <v>0</v>
      </c>
      <c r="R377">
        <f>COUNTIFS(Grunnspill!$A:$A,Annex!I377)</f>
        <v>0</v>
      </c>
    </row>
    <row r="378" spans="1:18" x14ac:dyDescent="0.2">
      <c r="A378">
        <v>375</v>
      </c>
      <c r="B378" s="1" t="s">
        <v>106</v>
      </c>
      <c r="C378" s="1" t="s">
        <v>103</v>
      </c>
      <c r="D378" s="1" t="s">
        <v>112</v>
      </c>
      <c r="E378" s="1" t="s">
        <v>111</v>
      </c>
      <c r="F378" s="1" t="s">
        <v>113</v>
      </c>
      <c r="G378" s="1" t="s">
        <v>107</v>
      </c>
      <c r="H378" s="1" t="s">
        <v>104</v>
      </c>
      <c r="I378" s="1" t="s">
        <v>109</v>
      </c>
      <c r="J378">
        <f t="shared" si="8"/>
        <v>0</v>
      </c>
      <c r="K378">
        <f>COUNTIFS(Grunnspill!$A:$A,Annex!B378)</f>
        <v>0</v>
      </c>
      <c r="L378">
        <f>COUNTIFS(Grunnspill!$A:$A,Annex!C378)</f>
        <v>0</v>
      </c>
      <c r="M378">
        <f>COUNTIFS(Grunnspill!$A:$A,Annex!D378)</f>
        <v>0</v>
      </c>
      <c r="N378">
        <f>COUNTIFS(Grunnspill!$A:$A,Annex!E378)</f>
        <v>0</v>
      </c>
      <c r="O378">
        <f>COUNTIFS(Grunnspill!$A:$A,Annex!F378)</f>
        <v>0</v>
      </c>
      <c r="P378">
        <f>COUNTIFS(Grunnspill!$A:$A,Annex!G378)</f>
        <v>0</v>
      </c>
      <c r="Q378">
        <f>COUNTIFS(Grunnspill!$A:$A,Annex!H378)</f>
        <v>0</v>
      </c>
      <c r="R378">
        <f>COUNTIFS(Grunnspill!$A:$A,Annex!I378)</f>
        <v>0</v>
      </c>
    </row>
    <row r="379" spans="1:18" x14ac:dyDescent="0.2">
      <c r="A379">
        <v>376</v>
      </c>
      <c r="B379" s="1" t="s">
        <v>104</v>
      </c>
      <c r="C379" s="1" t="s">
        <v>103</v>
      </c>
      <c r="D379" s="1" t="s">
        <v>112</v>
      </c>
      <c r="E379" s="1" t="s">
        <v>111</v>
      </c>
      <c r="F379" s="1" t="s">
        <v>113</v>
      </c>
      <c r="G379" s="1" t="s">
        <v>105</v>
      </c>
      <c r="H379" s="1" t="s">
        <v>108</v>
      </c>
      <c r="I379" s="1" t="s">
        <v>109</v>
      </c>
      <c r="J379">
        <f t="shared" si="8"/>
        <v>0</v>
      </c>
      <c r="K379">
        <f>COUNTIFS(Grunnspill!$A:$A,Annex!B379)</f>
        <v>0</v>
      </c>
      <c r="L379">
        <f>COUNTIFS(Grunnspill!$A:$A,Annex!C379)</f>
        <v>0</v>
      </c>
      <c r="M379">
        <f>COUNTIFS(Grunnspill!$A:$A,Annex!D379)</f>
        <v>0</v>
      </c>
      <c r="N379">
        <f>COUNTIFS(Grunnspill!$A:$A,Annex!E379)</f>
        <v>0</v>
      </c>
      <c r="O379">
        <f>COUNTIFS(Grunnspill!$A:$A,Annex!F379)</f>
        <v>0</v>
      </c>
      <c r="P379">
        <f>COUNTIFS(Grunnspill!$A:$A,Annex!G379)</f>
        <v>0</v>
      </c>
      <c r="Q379">
        <f>COUNTIFS(Grunnspill!$A:$A,Annex!H379)</f>
        <v>0</v>
      </c>
      <c r="R379">
        <f>COUNTIFS(Grunnspill!$A:$A,Annex!I379)</f>
        <v>0</v>
      </c>
    </row>
    <row r="380" spans="1:18" x14ac:dyDescent="0.2">
      <c r="A380">
        <v>377</v>
      </c>
      <c r="B380" s="1" t="s">
        <v>106</v>
      </c>
      <c r="C380" s="1" t="s">
        <v>103</v>
      </c>
      <c r="D380" s="1" t="s">
        <v>112</v>
      </c>
      <c r="E380" s="1" t="s">
        <v>111</v>
      </c>
      <c r="F380" s="1" t="s">
        <v>113</v>
      </c>
      <c r="G380" s="1" t="s">
        <v>105</v>
      </c>
      <c r="H380" s="1" t="s">
        <v>108</v>
      </c>
      <c r="I380" s="1" t="s">
        <v>109</v>
      </c>
      <c r="J380">
        <f t="shared" si="8"/>
        <v>0</v>
      </c>
      <c r="K380">
        <f>COUNTIFS(Grunnspill!$A:$A,Annex!B380)</f>
        <v>0</v>
      </c>
      <c r="L380">
        <f>COUNTIFS(Grunnspill!$A:$A,Annex!C380)</f>
        <v>0</v>
      </c>
      <c r="M380">
        <f>COUNTIFS(Grunnspill!$A:$A,Annex!D380)</f>
        <v>0</v>
      </c>
      <c r="N380">
        <f>COUNTIFS(Grunnspill!$A:$A,Annex!E380)</f>
        <v>0</v>
      </c>
      <c r="O380">
        <f>COUNTIFS(Grunnspill!$A:$A,Annex!F380)</f>
        <v>0</v>
      </c>
      <c r="P380">
        <f>COUNTIFS(Grunnspill!$A:$A,Annex!G380)</f>
        <v>0</v>
      </c>
      <c r="Q380">
        <f>COUNTIFS(Grunnspill!$A:$A,Annex!H380)</f>
        <v>0</v>
      </c>
      <c r="R380">
        <f>COUNTIFS(Grunnspill!$A:$A,Annex!I380)</f>
        <v>0</v>
      </c>
    </row>
    <row r="381" spans="1:18" x14ac:dyDescent="0.2">
      <c r="A381">
        <v>378</v>
      </c>
      <c r="B381" s="1" t="s">
        <v>106</v>
      </c>
      <c r="C381" s="1" t="s">
        <v>104</v>
      </c>
      <c r="D381" s="1" t="s">
        <v>112</v>
      </c>
      <c r="E381" s="1" t="s">
        <v>111</v>
      </c>
      <c r="F381" s="1" t="s">
        <v>113</v>
      </c>
      <c r="G381" s="1" t="s">
        <v>105</v>
      </c>
      <c r="H381" s="1" t="s">
        <v>108</v>
      </c>
      <c r="I381" s="1" t="s">
        <v>109</v>
      </c>
      <c r="J381">
        <f t="shared" si="8"/>
        <v>0</v>
      </c>
      <c r="K381">
        <f>COUNTIFS(Grunnspill!$A:$A,Annex!B381)</f>
        <v>0</v>
      </c>
      <c r="L381">
        <f>COUNTIFS(Grunnspill!$A:$A,Annex!C381)</f>
        <v>0</v>
      </c>
      <c r="M381">
        <f>COUNTIFS(Grunnspill!$A:$A,Annex!D381)</f>
        <v>0</v>
      </c>
      <c r="N381">
        <f>COUNTIFS(Grunnspill!$A:$A,Annex!E381)</f>
        <v>0</v>
      </c>
      <c r="O381">
        <f>COUNTIFS(Grunnspill!$A:$A,Annex!F381)</f>
        <v>0</v>
      </c>
      <c r="P381">
        <f>COUNTIFS(Grunnspill!$A:$A,Annex!G381)</f>
        <v>0</v>
      </c>
      <c r="Q381">
        <f>COUNTIFS(Grunnspill!$A:$A,Annex!H381)</f>
        <v>0</v>
      </c>
      <c r="R381">
        <f>COUNTIFS(Grunnspill!$A:$A,Annex!I381)</f>
        <v>0</v>
      </c>
    </row>
    <row r="382" spans="1:18" x14ac:dyDescent="0.2">
      <c r="A382">
        <v>379</v>
      </c>
      <c r="B382" s="1" t="s">
        <v>106</v>
      </c>
      <c r="C382" s="1" t="s">
        <v>103</v>
      </c>
      <c r="D382" s="1" t="s">
        <v>112</v>
      </c>
      <c r="E382" s="1" t="s">
        <v>111</v>
      </c>
      <c r="F382" s="1" t="s">
        <v>113</v>
      </c>
      <c r="G382" s="1" t="s">
        <v>105</v>
      </c>
      <c r="H382" s="1" t="s">
        <v>108</v>
      </c>
      <c r="I382" s="1" t="s">
        <v>104</v>
      </c>
      <c r="J382">
        <f t="shared" si="8"/>
        <v>0</v>
      </c>
      <c r="K382">
        <f>COUNTIFS(Grunnspill!$A:$A,Annex!B382)</f>
        <v>0</v>
      </c>
      <c r="L382">
        <f>COUNTIFS(Grunnspill!$A:$A,Annex!C382)</f>
        <v>0</v>
      </c>
      <c r="M382">
        <f>COUNTIFS(Grunnspill!$A:$A,Annex!D382)</f>
        <v>0</v>
      </c>
      <c r="N382">
        <f>COUNTIFS(Grunnspill!$A:$A,Annex!E382)</f>
        <v>0</v>
      </c>
      <c r="O382">
        <f>COUNTIFS(Grunnspill!$A:$A,Annex!F382)</f>
        <v>0</v>
      </c>
      <c r="P382">
        <f>COUNTIFS(Grunnspill!$A:$A,Annex!G382)</f>
        <v>0</v>
      </c>
      <c r="Q382">
        <f>COUNTIFS(Grunnspill!$A:$A,Annex!H382)</f>
        <v>0</v>
      </c>
      <c r="R382">
        <f>COUNTIFS(Grunnspill!$A:$A,Annex!I382)</f>
        <v>0</v>
      </c>
    </row>
    <row r="383" spans="1:18" x14ac:dyDescent="0.2">
      <c r="A383">
        <v>380</v>
      </c>
      <c r="B383" s="1" t="s">
        <v>106</v>
      </c>
      <c r="C383" s="1" t="s">
        <v>103</v>
      </c>
      <c r="D383" s="1" t="s">
        <v>112</v>
      </c>
      <c r="E383" s="1" t="s">
        <v>111</v>
      </c>
      <c r="F383" s="1" t="s">
        <v>113</v>
      </c>
      <c r="G383" s="1" t="s">
        <v>105</v>
      </c>
      <c r="H383" s="1" t="s">
        <v>104</v>
      </c>
      <c r="I383" s="1" t="s">
        <v>109</v>
      </c>
      <c r="J383">
        <f t="shared" si="8"/>
        <v>0</v>
      </c>
      <c r="K383">
        <f>COUNTIFS(Grunnspill!$A:$A,Annex!B383)</f>
        <v>0</v>
      </c>
      <c r="L383">
        <f>COUNTIFS(Grunnspill!$A:$A,Annex!C383)</f>
        <v>0</v>
      </c>
      <c r="M383">
        <f>COUNTIFS(Grunnspill!$A:$A,Annex!D383)</f>
        <v>0</v>
      </c>
      <c r="N383">
        <f>COUNTIFS(Grunnspill!$A:$A,Annex!E383)</f>
        <v>0</v>
      </c>
      <c r="O383">
        <f>COUNTIFS(Grunnspill!$A:$A,Annex!F383)</f>
        <v>0</v>
      </c>
      <c r="P383">
        <f>COUNTIFS(Grunnspill!$A:$A,Annex!G383)</f>
        <v>0</v>
      </c>
      <c r="Q383">
        <f>COUNTIFS(Grunnspill!$A:$A,Annex!H383)</f>
        <v>0</v>
      </c>
      <c r="R383">
        <f>COUNTIFS(Grunnspill!$A:$A,Annex!I383)</f>
        <v>0</v>
      </c>
    </row>
    <row r="384" spans="1:18" x14ac:dyDescent="0.2">
      <c r="A384">
        <v>381</v>
      </c>
      <c r="B384" s="1" t="s">
        <v>111</v>
      </c>
      <c r="C384" s="1" t="s">
        <v>103</v>
      </c>
      <c r="D384" s="1" t="s">
        <v>112</v>
      </c>
      <c r="E384" s="1" t="s">
        <v>105</v>
      </c>
      <c r="F384" s="1" t="s">
        <v>113</v>
      </c>
      <c r="G384" s="1" t="s">
        <v>107</v>
      </c>
      <c r="H384" s="1" t="s">
        <v>108</v>
      </c>
      <c r="I384" s="1" t="s">
        <v>109</v>
      </c>
      <c r="J384">
        <f t="shared" si="8"/>
        <v>0</v>
      </c>
      <c r="K384">
        <f>COUNTIFS(Grunnspill!$A:$A,Annex!B384)</f>
        <v>0</v>
      </c>
      <c r="L384">
        <f>COUNTIFS(Grunnspill!$A:$A,Annex!C384)</f>
        <v>0</v>
      </c>
      <c r="M384">
        <f>COUNTIFS(Grunnspill!$A:$A,Annex!D384)</f>
        <v>0</v>
      </c>
      <c r="N384">
        <f>COUNTIFS(Grunnspill!$A:$A,Annex!E384)</f>
        <v>0</v>
      </c>
      <c r="O384">
        <f>COUNTIFS(Grunnspill!$A:$A,Annex!F384)</f>
        <v>0</v>
      </c>
      <c r="P384">
        <f>COUNTIFS(Grunnspill!$A:$A,Annex!G384)</f>
        <v>0</v>
      </c>
      <c r="Q384">
        <f>COUNTIFS(Grunnspill!$A:$A,Annex!H384)</f>
        <v>0</v>
      </c>
      <c r="R384">
        <f>COUNTIFS(Grunnspill!$A:$A,Annex!I384)</f>
        <v>0</v>
      </c>
    </row>
    <row r="385" spans="1:18" x14ac:dyDescent="0.2">
      <c r="A385">
        <v>382</v>
      </c>
      <c r="B385" s="1" t="s">
        <v>104</v>
      </c>
      <c r="C385" s="1" t="s">
        <v>107</v>
      </c>
      <c r="D385" s="1" t="s">
        <v>112</v>
      </c>
      <c r="E385" s="1" t="s">
        <v>111</v>
      </c>
      <c r="F385" s="1" t="s">
        <v>113</v>
      </c>
      <c r="G385" s="1" t="s">
        <v>105</v>
      </c>
      <c r="H385" s="1" t="s">
        <v>108</v>
      </c>
      <c r="I385" s="1" t="s">
        <v>109</v>
      </c>
      <c r="J385">
        <f t="shared" si="8"/>
        <v>0</v>
      </c>
      <c r="K385">
        <f>COUNTIFS(Grunnspill!$A:$A,Annex!B385)</f>
        <v>0</v>
      </c>
      <c r="L385">
        <f>COUNTIFS(Grunnspill!$A:$A,Annex!C385)</f>
        <v>0</v>
      </c>
      <c r="M385">
        <f>COUNTIFS(Grunnspill!$A:$A,Annex!D385)</f>
        <v>0</v>
      </c>
      <c r="N385">
        <f>COUNTIFS(Grunnspill!$A:$A,Annex!E385)</f>
        <v>0</v>
      </c>
      <c r="O385">
        <f>COUNTIFS(Grunnspill!$A:$A,Annex!F385)</f>
        <v>0</v>
      </c>
      <c r="P385">
        <f>COUNTIFS(Grunnspill!$A:$A,Annex!G385)</f>
        <v>0</v>
      </c>
      <c r="Q385">
        <f>COUNTIFS(Grunnspill!$A:$A,Annex!H385)</f>
        <v>0</v>
      </c>
      <c r="R385">
        <f>COUNTIFS(Grunnspill!$A:$A,Annex!I385)</f>
        <v>0</v>
      </c>
    </row>
    <row r="386" spans="1:18" x14ac:dyDescent="0.2">
      <c r="A386">
        <v>383</v>
      </c>
      <c r="B386" s="1" t="s">
        <v>111</v>
      </c>
      <c r="C386" s="1" t="s">
        <v>103</v>
      </c>
      <c r="D386" s="1" t="s">
        <v>112</v>
      </c>
      <c r="E386" s="1" t="s">
        <v>105</v>
      </c>
      <c r="F386" s="1" t="s">
        <v>113</v>
      </c>
      <c r="G386" s="1" t="s">
        <v>107</v>
      </c>
      <c r="H386" s="1" t="s">
        <v>108</v>
      </c>
      <c r="I386" s="1" t="s">
        <v>104</v>
      </c>
      <c r="J386">
        <f t="shared" si="8"/>
        <v>0</v>
      </c>
      <c r="K386">
        <f>COUNTIFS(Grunnspill!$A:$A,Annex!B386)</f>
        <v>0</v>
      </c>
      <c r="L386">
        <f>COUNTIFS(Grunnspill!$A:$A,Annex!C386)</f>
        <v>0</v>
      </c>
      <c r="M386">
        <f>COUNTIFS(Grunnspill!$A:$A,Annex!D386)</f>
        <v>0</v>
      </c>
      <c r="N386">
        <f>COUNTIFS(Grunnspill!$A:$A,Annex!E386)</f>
        <v>0</v>
      </c>
      <c r="O386">
        <f>COUNTIFS(Grunnspill!$A:$A,Annex!F386)</f>
        <v>0</v>
      </c>
      <c r="P386">
        <f>COUNTIFS(Grunnspill!$A:$A,Annex!G386)</f>
        <v>0</v>
      </c>
      <c r="Q386">
        <f>COUNTIFS(Grunnspill!$A:$A,Annex!H386)</f>
        <v>0</v>
      </c>
      <c r="R386">
        <f>COUNTIFS(Grunnspill!$A:$A,Annex!I386)</f>
        <v>0</v>
      </c>
    </row>
    <row r="387" spans="1:18" x14ac:dyDescent="0.2">
      <c r="A387">
        <v>384</v>
      </c>
      <c r="B387" s="1" t="s">
        <v>111</v>
      </c>
      <c r="C387" s="1" t="s">
        <v>103</v>
      </c>
      <c r="D387" s="1" t="s">
        <v>112</v>
      </c>
      <c r="E387" s="1" t="s">
        <v>105</v>
      </c>
      <c r="F387" s="1" t="s">
        <v>113</v>
      </c>
      <c r="G387" s="1" t="s">
        <v>107</v>
      </c>
      <c r="H387" s="1" t="s">
        <v>104</v>
      </c>
      <c r="I387" s="1" t="s">
        <v>109</v>
      </c>
      <c r="J387">
        <f t="shared" si="8"/>
        <v>0</v>
      </c>
      <c r="K387">
        <f>COUNTIFS(Grunnspill!$A:$A,Annex!B387)</f>
        <v>0</v>
      </c>
      <c r="L387">
        <f>COUNTIFS(Grunnspill!$A:$A,Annex!C387)</f>
        <v>0</v>
      </c>
      <c r="M387">
        <f>COUNTIFS(Grunnspill!$A:$A,Annex!D387)</f>
        <v>0</v>
      </c>
      <c r="N387">
        <f>COUNTIFS(Grunnspill!$A:$A,Annex!E387)</f>
        <v>0</v>
      </c>
      <c r="O387">
        <f>COUNTIFS(Grunnspill!$A:$A,Annex!F387)</f>
        <v>0</v>
      </c>
      <c r="P387">
        <f>COUNTIFS(Grunnspill!$A:$A,Annex!G387)</f>
        <v>0</v>
      </c>
      <c r="Q387">
        <f>COUNTIFS(Grunnspill!$A:$A,Annex!H387)</f>
        <v>0</v>
      </c>
      <c r="R387">
        <f>COUNTIFS(Grunnspill!$A:$A,Annex!I387)</f>
        <v>0</v>
      </c>
    </row>
    <row r="388" spans="1:18" x14ac:dyDescent="0.2">
      <c r="A388">
        <v>385</v>
      </c>
      <c r="B388" s="1" t="s">
        <v>106</v>
      </c>
      <c r="C388" s="1" t="s">
        <v>107</v>
      </c>
      <c r="D388" s="1" t="s">
        <v>112</v>
      </c>
      <c r="E388" s="1" t="s">
        <v>111</v>
      </c>
      <c r="F388" s="1" t="s">
        <v>113</v>
      </c>
      <c r="G388" s="1" t="s">
        <v>105</v>
      </c>
      <c r="H388" s="1" t="s">
        <v>108</v>
      </c>
      <c r="I388" s="1" t="s">
        <v>109</v>
      </c>
      <c r="J388">
        <f t="shared" si="8"/>
        <v>0</v>
      </c>
      <c r="K388">
        <f>COUNTIFS(Grunnspill!$A:$A,Annex!B388)</f>
        <v>0</v>
      </c>
      <c r="L388">
        <f>COUNTIFS(Grunnspill!$A:$A,Annex!C388)</f>
        <v>0</v>
      </c>
      <c r="M388">
        <f>COUNTIFS(Grunnspill!$A:$A,Annex!D388)</f>
        <v>0</v>
      </c>
      <c r="N388">
        <f>COUNTIFS(Grunnspill!$A:$A,Annex!E388)</f>
        <v>0</v>
      </c>
      <c r="O388">
        <f>COUNTIFS(Grunnspill!$A:$A,Annex!F388)</f>
        <v>0</v>
      </c>
      <c r="P388">
        <f>COUNTIFS(Grunnspill!$A:$A,Annex!G388)</f>
        <v>0</v>
      </c>
      <c r="Q388">
        <f>COUNTIFS(Grunnspill!$A:$A,Annex!H388)</f>
        <v>0</v>
      </c>
      <c r="R388">
        <f>COUNTIFS(Grunnspill!$A:$A,Annex!I388)</f>
        <v>0</v>
      </c>
    </row>
    <row r="389" spans="1:18" x14ac:dyDescent="0.2">
      <c r="A389">
        <v>386</v>
      </c>
      <c r="B389" s="1" t="s">
        <v>106</v>
      </c>
      <c r="C389" s="1" t="s">
        <v>107</v>
      </c>
      <c r="D389" s="1" t="s">
        <v>112</v>
      </c>
      <c r="E389" s="1" t="s">
        <v>111</v>
      </c>
      <c r="F389" s="1" t="s">
        <v>113</v>
      </c>
      <c r="G389" s="1" t="s">
        <v>105</v>
      </c>
      <c r="H389" s="1" t="s">
        <v>108</v>
      </c>
      <c r="I389" s="1" t="s">
        <v>103</v>
      </c>
      <c r="J389">
        <f t="shared" si="8"/>
        <v>0</v>
      </c>
      <c r="K389">
        <f>COUNTIFS(Grunnspill!$A:$A,Annex!B389)</f>
        <v>0</v>
      </c>
      <c r="L389">
        <f>COUNTIFS(Grunnspill!$A:$A,Annex!C389)</f>
        <v>0</v>
      </c>
      <c r="M389">
        <f>COUNTIFS(Grunnspill!$A:$A,Annex!D389)</f>
        <v>0</v>
      </c>
      <c r="N389">
        <f>COUNTIFS(Grunnspill!$A:$A,Annex!E389)</f>
        <v>0</v>
      </c>
      <c r="O389">
        <f>COUNTIFS(Grunnspill!$A:$A,Annex!F389)</f>
        <v>0</v>
      </c>
      <c r="P389">
        <f>COUNTIFS(Grunnspill!$A:$A,Annex!G389)</f>
        <v>0</v>
      </c>
      <c r="Q389">
        <f>COUNTIFS(Grunnspill!$A:$A,Annex!H389)</f>
        <v>0</v>
      </c>
      <c r="R389">
        <f>COUNTIFS(Grunnspill!$A:$A,Annex!I389)</f>
        <v>0</v>
      </c>
    </row>
    <row r="390" spans="1:18" x14ac:dyDescent="0.2">
      <c r="A390">
        <v>387</v>
      </c>
      <c r="B390" s="1" t="s">
        <v>106</v>
      </c>
      <c r="C390" s="1" t="s">
        <v>107</v>
      </c>
      <c r="D390" s="1" t="s">
        <v>112</v>
      </c>
      <c r="E390" s="1" t="s">
        <v>111</v>
      </c>
      <c r="F390" s="1" t="s">
        <v>113</v>
      </c>
      <c r="G390" s="1" t="s">
        <v>105</v>
      </c>
      <c r="H390" s="1" t="s">
        <v>103</v>
      </c>
      <c r="I390" s="1" t="s">
        <v>109</v>
      </c>
      <c r="J390">
        <f t="shared" si="8"/>
        <v>0</v>
      </c>
      <c r="K390">
        <f>COUNTIFS(Grunnspill!$A:$A,Annex!B390)</f>
        <v>0</v>
      </c>
      <c r="L390">
        <f>COUNTIFS(Grunnspill!$A:$A,Annex!C390)</f>
        <v>0</v>
      </c>
      <c r="M390">
        <f>COUNTIFS(Grunnspill!$A:$A,Annex!D390)</f>
        <v>0</v>
      </c>
      <c r="N390">
        <f>COUNTIFS(Grunnspill!$A:$A,Annex!E390)</f>
        <v>0</v>
      </c>
      <c r="O390">
        <f>COUNTIFS(Grunnspill!$A:$A,Annex!F390)</f>
        <v>0</v>
      </c>
      <c r="P390">
        <f>COUNTIFS(Grunnspill!$A:$A,Annex!G390)</f>
        <v>0</v>
      </c>
      <c r="Q390">
        <f>COUNTIFS(Grunnspill!$A:$A,Annex!H390)</f>
        <v>0</v>
      </c>
      <c r="R390">
        <f>COUNTIFS(Grunnspill!$A:$A,Annex!I390)</f>
        <v>0</v>
      </c>
    </row>
    <row r="391" spans="1:18" x14ac:dyDescent="0.2">
      <c r="A391">
        <v>388</v>
      </c>
      <c r="B391" s="1" t="s">
        <v>106</v>
      </c>
      <c r="C391" s="1" t="s">
        <v>107</v>
      </c>
      <c r="D391" s="1" t="s">
        <v>112</v>
      </c>
      <c r="E391" s="1" t="s">
        <v>111</v>
      </c>
      <c r="F391" s="1" t="s">
        <v>113</v>
      </c>
      <c r="G391" s="1" t="s">
        <v>105</v>
      </c>
      <c r="H391" s="1" t="s">
        <v>108</v>
      </c>
      <c r="I391" s="1" t="s">
        <v>104</v>
      </c>
      <c r="J391">
        <f t="shared" si="8"/>
        <v>0</v>
      </c>
      <c r="K391">
        <f>COUNTIFS(Grunnspill!$A:$A,Annex!B391)</f>
        <v>0</v>
      </c>
      <c r="L391">
        <f>COUNTIFS(Grunnspill!$A:$A,Annex!C391)</f>
        <v>0</v>
      </c>
      <c r="M391">
        <f>COUNTIFS(Grunnspill!$A:$A,Annex!D391)</f>
        <v>0</v>
      </c>
      <c r="N391">
        <f>COUNTIFS(Grunnspill!$A:$A,Annex!E391)</f>
        <v>0</v>
      </c>
      <c r="O391">
        <f>COUNTIFS(Grunnspill!$A:$A,Annex!F391)</f>
        <v>0</v>
      </c>
      <c r="P391">
        <f>COUNTIFS(Grunnspill!$A:$A,Annex!G391)</f>
        <v>0</v>
      </c>
      <c r="Q391">
        <f>COUNTIFS(Grunnspill!$A:$A,Annex!H391)</f>
        <v>0</v>
      </c>
      <c r="R391">
        <f>COUNTIFS(Grunnspill!$A:$A,Annex!I391)</f>
        <v>0</v>
      </c>
    </row>
    <row r="392" spans="1:18" x14ac:dyDescent="0.2">
      <c r="A392">
        <v>389</v>
      </c>
      <c r="B392" s="1" t="s">
        <v>106</v>
      </c>
      <c r="C392" s="1" t="s">
        <v>107</v>
      </c>
      <c r="D392" s="1" t="s">
        <v>112</v>
      </c>
      <c r="E392" s="1" t="s">
        <v>111</v>
      </c>
      <c r="F392" s="1" t="s">
        <v>113</v>
      </c>
      <c r="G392" s="1" t="s">
        <v>105</v>
      </c>
      <c r="H392" s="1" t="s">
        <v>104</v>
      </c>
      <c r="I392" s="1" t="s">
        <v>109</v>
      </c>
      <c r="J392">
        <f t="shared" si="8"/>
        <v>0</v>
      </c>
      <c r="K392">
        <f>COUNTIFS(Grunnspill!$A:$A,Annex!B392)</f>
        <v>0</v>
      </c>
      <c r="L392">
        <f>COUNTIFS(Grunnspill!$A:$A,Annex!C392)</f>
        <v>0</v>
      </c>
      <c r="M392">
        <f>COUNTIFS(Grunnspill!$A:$A,Annex!D392)</f>
        <v>0</v>
      </c>
      <c r="N392">
        <f>COUNTIFS(Grunnspill!$A:$A,Annex!E392)</f>
        <v>0</v>
      </c>
      <c r="O392">
        <f>COUNTIFS(Grunnspill!$A:$A,Annex!F392)</f>
        <v>0</v>
      </c>
      <c r="P392">
        <f>COUNTIFS(Grunnspill!$A:$A,Annex!G392)</f>
        <v>0</v>
      </c>
      <c r="Q392">
        <f>COUNTIFS(Grunnspill!$A:$A,Annex!H392)</f>
        <v>0</v>
      </c>
      <c r="R392">
        <f>COUNTIFS(Grunnspill!$A:$A,Annex!I392)</f>
        <v>0</v>
      </c>
    </row>
    <row r="393" spans="1:18" x14ac:dyDescent="0.2">
      <c r="A393">
        <v>390</v>
      </c>
      <c r="B393" s="1" t="s">
        <v>106</v>
      </c>
      <c r="C393" s="1" t="s">
        <v>107</v>
      </c>
      <c r="D393" s="1" t="s">
        <v>112</v>
      </c>
      <c r="E393" s="1" t="s">
        <v>111</v>
      </c>
      <c r="F393" s="1" t="s">
        <v>113</v>
      </c>
      <c r="G393" s="1" t="s">
        <v>105</v>
      </c>
      <c r="H393" s="1" t="s">
        <v>104</v>
      </c>
      <c r="I393" s="1" t="s">
        <v>103</v>
      </c>
      <c r="J393">
        <f t="shared" si="8"/>
        <v>0</v>
      </c>
      <c r="K393">
        <f>COUNTIFS(Grunnspill!$A:$A,Annex!B393)</f>
        <v>0</v>
      </c>
      <c r="L393">
        <f>COUNTIFS(Grunnspill!$A:$A,Annex!C393)</f>
        <v>0</v>
      </c>
      <c r="M393">
        <f>COUNTIFS(Grunnspill!$A:$A,Annex!D393)</f>
        <v>0</v>
      </c>
      <c r="N393">
        <f>COUNTIFS(Grunnspill!$A:$A,Annex!E393)</f>
        <v>0</v>
      </c>
      <c r="O393">
        <f>COUNTIFS(Grunnspill!$A:$A,Annex!F393)</f>
        <v>0</v>
      </c>
      <c r="P393">
        <f>COUNTIFS(Grunnspill!$A:$A,Annex!G393)</f>
        <v>0</v>
      </c>
      <c r="Q393">
        <f>COUNTIFS(Grunnspill!$A:$A,Annex!H393)</f>
        <v>0</v>
      </c>
      <c r="R393">
        <f>COUNTIFS(Grunnspill!$A:$A,Annex!I393)</f>
        <v>0</v>
      </c>
    </row>
    <row r="394" spans="1:18" x14ac:dyDescent="0.2">
      <c r="A394">
        <v>391</v>
      </c>
      <c r="B394" s="1" t="s">
        <v>102</v>
      </c>
      <c r="C394" s="1" t="s">
        <v>103</v>
      </c>
      <c r="D394" s="1" t="s">
        <v>112</v>
      </c>
      <c r="E394" s="1" t="s">
        <v>113</v>
      </c>
      <c r="F394" s="1" t="s">
        <v>104</v>
      </c>
      <c r="G394" s="1" t="s">
        <v>111</v>
      </c>
      <c r="H394" s="1" t="s">
        <v>108</v>
      </c>
      <c r="I394" s="1" t="s">
        <v>109</v>
      </c>
      <c r="J394">
        <f t="shared" si="8"/>
        <v>0</v>
      </c>
      <c r="K394">
        <f>COUNTIFS(Grunnspill!$A:$A,Annex!B394)</f>
        <v>0</v>
      </c>
      <c r="L394">
        <f>COUNTIFS(Grunnspill!$A:$A,Annex!C394)</f>
        <v>0</v>
      </c>
      <c r="M394">
        <f>COUNTIFS(Grunnspill!$A:$A,Annex!D394)</f>
        <v>0</v>
      </c>
      <c r="N394">
        <f>COUNTIFS(Grunnspill!$A:$A,Annex!E394)</f>
        <v>0</v>
      </c>
      <c r="O394">
        <f>COUNTIFS(Grunnspill!$A:$A,Annex!F394)</f>
        <v>0</v>
      </c>
      <c r="P394">
        <f>COUNTIFS(Grunnspill!$A:$A,Annex!G394)</f>
        <v>0</v>
      </c>
      <c r="Q394">
        <f>COUNTIFS(Grunnspill!$A:$A,Annex!H394)</f>
        <v>0</v>
      </c>
      <c r="R394">
        <f>COUNTIFS(Grunnspill!$A:$A,Annex!I394)</f>
        <v>0</v>
      </c>
    </row>
    <row r="395" spans="1:18" x14ac:dyDescent="0.2">
      <c r="A395">
        <v>392</v>
      </c>
      <c r="B395" s="1" t="s">
        <v>102</v>
      </c>
      <c r="C395" s="1" t="s">
        <v>103</v>
      </c>
      <c r="D395" s="1" t="s">
        <v>112</v>
      </c>
      <c r="E395" s="1" t="s">
        <v>111</v>
      </c>
      <c r="F395" s="1" t="s">
        <v>113</v>
      </c>
      <c r="G395" s="1" t="s">
        <v>106</v>
      </c>
      <c r="H395" s="1" t="s">
        <v>108</v>
      </c>
      <c r="I395" s="1" t="s">
        <v>109</v>
      </c>
      <c r="J395">
        <f t="shared" si="8"/>
        <v>0</v>
      </c>
      <c r="K395">
        <f>COUNTIFS(Grunnspill!$A:$A,Annex!B395)</f>
        <v>0</v>
      </c>
      <c r="L395">
        <f>COUNTIFS(Grunnspill!$A:$A,Annex!C395)</f>
        <v>0</v>
      </c>
      <c r="M395">
        <f>COUNTIFS(Grunnspill!$A:$A,Annex!D395)</f>
        <v>0</v>
      </c>
      <c r="N395">
        <f>COUNTIFS(Grunnspill!$A:$A,Annex!E395)</f>
        <v>0</v>
      </c>
      <c r="O395">
        <f>COUNTIFS(Grunnspill!$A:$A,Annex!F395)</f>
        <v>0</v>
      </c>
      <c r="P395">
        <f>COUNTIFS(Grunnspill!$A:$A,Annex!G395)</f>
        <v>0</v>
      </c>
      <c r="Q395">
        <f>COUNTIFS(Grunnspill!$A:$A,Annex!H395)</f>
        <v>0</v>
      </c>
      <c r="R395">
        <f>COUNTIFS(Grunnspill!$A:$A,Annex!I395)</f>
        <v>0</v>
      </c>
    </row>
    <row r="396" spans="1:18" x14ac:dyDescent="0.2">
      <c r="A396">
        <v>393</v>
      </c>
      <c r="B396" s="1" t="s">
        <v>102</v>
      </c>
      <c r="C396" s="1" t="s">
        <v>104</v>
      </c>
      <c r="D396" s="1" t="s">
        <v>112</v>
      </c>
      <c r="E396" s="1" t="s">
        <v>111</v>
      </c>
      <c r="F396" s="1" t="s">
        <v>113</v>
      </c>
      <c r="G396" s="1" t="s">
        <v>106</v>
      </c>
      <c r="H396" s="1" t="s">
        <v>108</v>
      </c>
      <c r="I396" s="1" t="s">
        <v>109</v>
      </c>
      <c r="J396">
        <f t="shared" si="8"/>
        <v>0</v>
      </c>
      <c r="K396">
        <f>COUNTIFS(Grunnspill!$A:$A,Annex!B396)</f>
        <v>0</v>
      </c>
      <c r="L396">
        <f>COUNTIFS(Grunnspill!$A:$A,Annex!C396)</f>
        <v>0</v>
      </c>
      <c r="M396">
        <f>COUNTIFS(Grunnspill!$A:$A,Annex!D396)</f>
        <v>0</v>
      </c>
      <c r="N396">
        <f>COUNTIFS(Grunnspill!$A:$A,Annex!E396)</f>
        <v>0</v>
      </c>
      <c r="O396">
        <f>COUNTIFS(Grunnspill!$A:$A,Annex!F396)</f>
        <v>0</v>
      </c>
      <c r="P396">
        <f>COUNTIFS(Grunnspill!$A:$A,Annex!G396)</f>
        <v>0</v>
      </c>
      <c r="Q396">
        <f>COUNTIFS(Grunnspill!$A:$A,Annex!H396)</f>
        <v>0</v>
      </c>
      <c r="R396">
        <f>COUNTIFS(Grunnspill!$A:$A,Annex!I396)</f>
        <v>0</v>
      </c>
    </row>
    <row r="397" spans="1:18" x14ac:dyDescent="0.2">
      <c r="A397">
        <v>394</v>
      </c>
      <c r="B397" s="1" t="s">
        <v>102</v>
      </c>
      <c r="C397" s="1" t="s">
        <v>103</v>
      </c>
      <c r="D397" s="1" t="s">
        <v>112</v>
      </c>
      <c r="E397" s="1" t="s">
        <v>111</v>
      </c>
      <c r="F397" s="1" t="s">
        <v>113</v>
      </c>
      <c r="G397" s="1" t="s">
        <v>106</v>
      </c>
      <c r="H397" s="1" t="s">
        <v>108</v>
      </c>
      <c r="I397" s="1" t="s">
        <v>104</v>
      </c>
      <c r="J397">
        <f t="shared" si="8"/>
        <v>0</v>
      </c>
      <c r="K397">
        <f>COUNTIFS(Grunnspill!$A:$A,Annex!B397)</f>
        <v>0</v>
      </c>
      <c r="L397">
        <f>COUNTIFS(Grunnspill!$A:$A,Annex!C397)</f>
        <v>0</v>
      </c>
      <c r="M397">
        <f>COUNTIFS(Grunnspill!$A:$A,Annex!D397)</f>
        <v>0</v>
      </c>
      <c r="N397">
        <f>COUNTIFS(Grunnspill!$A:$A,Annex!E397)</f>
        <v>0</v>
      </c>
      <c r="O397">
        <f>COUNTIFS(Grunnspill!$A:$A,Annex!F397)</f>
        <v>0</v>
      </c>
      <c r="P397">
        <f>COUNTIFS(Grunnspill!$A:$A,Annex!G397)</f>
        <v>0</v>
      </c>
      <c r="Q397">
        <f>COUNTIFS(Grunnspill!$A:$A,Annex!H397)</f>
        <v>0</v>
      </c>
      <c r="R397">
        <f>COUNTIFS(Grunnspill!$A:$A,Annex!I397)</f>
        <v>0</v>
      </c>
    </row>
    <row r="398" spans="1:18" x14ac:dyDescent="0.2">
      <c r="A398">
        <v>395</v>
      </c>
      <c r="B398" s="1" t="s">
        <v>102</v>
      </c>
      <c r="C398" s="1" t="s">
        <v>103</v>
      </c>
      <c r="D398" s="1" t="s">
        <v>112</v>
      </c>
      <c r="E398" s="1" t="s">
        <v>111</v>
      </c>
      <c r="F398" s="1" t="s">
        <v>113</v>
      </c>
      <c r="G398" s="1" t="s">
        <v>106</v>
      </c>
      <c r="H398" s="1" t="s">
        <v>104</v>
      </c>
      <c r="I398" s="1" t="s">
        <v>109</v>
      </c>
      <c r="J398">
        <f t="shared" si="8"/>
        <v>0</v>
      </c>
      <c r="K398">
        <f>COUNTIFS(Grunnspill!$A:$A,Annex!B398)</f>
        <v>0</v>
      </c>
      <c r="L398">
        <f>COUNTIFS(Grunnspill!$A:$A,Annex!C398)</f>
        <v>0</v>
      </c>
      <c r="M398">
        <f>COUNTIFS(Grunnspill!$A:$A,Annex!D398)</f>
        <v>0</v>
      </c>
      <c r="N398">
        <f>COUNTIFS(Grunnspill!$A:$A,Annex!E398)</f>
        <v>0</v>
      </c>
      <c r="O398">
        <f>COUNTIFS(Grunnspill!$A:$A,Annex!F398)</f>
        <v>0</v>
      </c>
      <c r="P398">
        <f>COUNTIFS(Grunnspill!$A:$A,Annex!G398)</f>
        <v>0</v>
      </c>
      <c r="Q398">
        <f>COUNTIFS(Grunnspill!$A:$A,Annex!H398)</f>
        <v>0</v>
      </c>
      <c r="R398">
        <f>COUNTIFS(Grunnspill!$A:$A,Annex!I398)</f>
        <v>0</v>
      </c>
    </row>
    <row r="399" spans="1:18" x14ac:dyDescent="0.2">
      <c r="A399">
        <v>396</v>
      </c>
      <c r="B399" s="1" t="s">
        <v>102</v>
      </c>
      <c r="C399" s="1" t="s">
        <v>103</v>
      </c>
      <c r="D399" s="1" t="s">
        <v>112</v>
      </c>
      <c r="E399" s="1" t="s">
        <v>111</v>
      </c>
      <c r="F399" s="1" t="s">
        <v>113</v>
      </c>
      <c r="G399" s="1" t="s">
        <v>107</v>
      </c>
      <c r="H399" s="1" t="s">
        <v>108</v>
      </c>
      <c r="I399" s="1" t="s">
        <v>109</v>
      </c>
      <c r="J399">
        <f t="shared" si="8"/>
        <v>0</v>
      </c>
      <c r="K399">
        <f>COUNTIFS(Grunnspill!$A:$A,Annex!B399)</f>
        <v>0</v>
      </c>
      <c r="L399">
        <f>COUNTIFS(Grunnspill!$A:$A,Annex!C399)</f>
        <v>0</v>
      </c>
      <c r="M399">
        <f>COUNTIFS(Grunnspill!$A:$A,Annex!D399)</f>
        <v>0</v>
      </c>
      <c r="N399">
        <f>COUNTIFS(Grunnspill!$A:$A,Annex!E399)</f>
        <v>0</v>
      </c>
      <c r="O399">
        <f>COUNTIFS(Grunnspill!$A:$A,Annex!F399)</f>
        <v>0</v>
      </c>
      <c r="P399">
        <f>COUNTIFS(Grunnspill!$A:$A,Annex!G399)</f>
        <v>0</v>
      </c>
      <c r="Q399">
        <f>COUNTIFS(Grunnspill!$A:$A,Annex!H399)</f>
        <v>0</v>
      </c>
      <c r="R399">
        <f>COUNTIFS(Grunnspill!$A:$A,Annex!I399)</f>
        <v>0</v>
      </c>
    </row>
    <row r="400" spans="1:18" x14ac:dyDescent="0.2">
      <c r="A400">
        <v>397</v>
      </c>
      <c r="B400" s="1" t="s">
        <v>102</v>
      </c>
      <c r="C400" s="1" t="s">
        <v>107</v>
      </c>
      <c r="D400" s="1" t="s">
        <v>112</v>
      </c>
      <c r="E400" s="1" t="s">
        <v>113</v>
      </c>
      <c r="F400" s="1" t="s">
        <v>104</v>
      </c>
      <c r="G400" s="1" t="s">
        <v>111</v>
      </c>
      <c r="H400" s="1" t="s">
        <v>108</v>
      </c>
      <c r="I400" s="1" t="s">
        <v>109</v>
      </c>
      <c r="J400">
        <f t="shared" si="8"/>
        <v>0</v>
      </c>
      <c r="K400">
        <f>COUNTIFS(Grunnspill!$A:$A,Annex!B400)</f>
        <v>0</v>
      </c>
      <c r="L400">
        <f>COUNTIFS(Grunnspill!$A:$A,Annex!C400)</f>
        <v>0</v>
      </c>
      <c r="M400">
        <f>COUNTIFS(Grunnspill!$A:$A,Annex!D400)</f>
        <v>0</v>
      </c>
      <c r="N400">
        <f>COUNTIFS(Grunnspill!$A:$A,Annex!E400)</f>
        <v>0</v>
      </c>
      <c r="O400">
        <f>COUNTIFS(Grunnspill!$A:$A,Annex!F400)</f>
        <v>0</v>
      </c>
      <c r="P400">
        <f>COUNTIFS(Grunnspill!$A:$A,Annex!G400)</f>
        <v>0</v>
      </c>
      <c r="Q400">
        <f>COUNTIFS(Grunnspill!$A:$A,Annex!H400)</f>
        <v>0</v>
      </c>
      <c r="R400">
        <f>COUNTIFS(Grunnspill!$A:$A,Annex!I400)</f>
        <v>0</v>
      </c>
    </row>
    <row r="401" spans="1:18" x14ac:dyDescent="0.2">
      <c r="A401">
        <v>398</v>
      </c>
      <c r="B401" s="1" t="s">
        <v>102</v>
      </c>
      <c r="C401" s="1" t="s">
        <v>103</v>
      </c>
      <c r="D401" s="1" t="s">
        <v>112</v>
      </c>
      <c r="E401" s="1" t="s">
        <v>111</v>
      </c>
      <c r="F401" s="1" t="s">
        <v>113</v>
      </c>
      <c r="G401" s="1" t="s">
        <v>107</v>
      </c>
      <c r="H401" s="1" t="s">
        <v>108</v>
      </c>
      <c r="I401" s="1" t="s">
        <v>104</v>
      </c>
      <c r="J401">
        <f t="shared" si="8"/>
        <v>0</v>
      </c>
      <c r="K401">
        <f>COUNTIFS(Grunnspill!$A:$A,Annex!B401)</f>
        <v>0</v>
      </c>
      <c r="L401">
        <f>COUNTIFS(Grunnspill!$A:$A,Annex!C401)</f>
        <v>0</v>
      </c>
      <c r="M401">
        <f>COUNTIFS(Grunnspill!$A:$A,Annex!D401)</f>
        <v>0</v>
      </c>
      <c r="N401">
        <f>COUNTIFS(Grunnspill!$A:$A,Annex!E401)</f>
        <v>0</v>
      </c>
      <c r="O401">
        <f>COUNTIFS(Grunnspill!$A:$A,Annex!F401)</f>
        <v>0</v>
      </c>
      <c r="P401">
        <f>COUNTIFS(Grunnspill!$A:$A,Annex!G401)</f>
        <v>0</v>
      </c>
      <c r="Q401">
        <f>COUNTIFS(Grunnspill!$A:$A,Annex!H401)</f>
        <v>0</v>
      </c>
      <c r="R401">
        <f>COUNTIFS(Grunnspill!$A:$A,Annex!I401)</f>
        <v>0</v>
      </c>
    </row>
    <row r="402" spans="1:18" x14ac:dyDescent="0.2">
      <c r="A402">
        <v>399</v>
      </c>
      <c r="B402" s="1" t="s">
        <v>102</v>
      </c>
      <c r="C402" s="1" t="s">
        <v>103</v>
      </c>
      <c r="D402" s="1" t="s">
        <v>112</v>
      </c>
      <c r="E402" s="1" t="s">
        <v>111</v>
      </c>
      <c r="F402" s="1" t="s">
        <v>113</v>
      </c>
      <c r="G402" s="1" t="s">
        <v>107</v>
      </c>
      <c r="H402" s="1" t="s">
        <v>104</v>
      </c>
      <c r="I402" s="1" t="s">
        <v>109</v>
      </c>
      <c r="J402">
        <f t="shared" si="8"/>
        <v>0</v>
      </c>
      <c r="K402">
        <f>COUNTIFS(Grunnspill!$A:$A,Annex!B402)</f>
        <v>0</v>
      </c>
      <c r="L402">
        <f>COUNTIFS(Grunnspill!$A:$A,Annex!C402)</f>
        <v>0</v>
      </c>
      <c r="M402">
        <f>COUNTIFS(Grunnspill!$A:$A,Annex!D402)</f>
        <v>0</v>
      </c>
      <c r="N402">
        <f>COUNTIFS(Grunnspill!$A:$A,Annex!E402)</f>
        <v>0</v>
      </c>
      <c r="O402">
        <f>COUNTIFS(Grunnspill!$A:$A,Annex!F402)</f>
        <v>0</v>
      </c>
      <c r="P402">
        <f>COUNTIFS(Grunnspill!$A:$A,Annex!G402)</f>
        <v>0</v>
      </c>
      <c r="Q402">
        <f>COUNTIFS(Grunnspill!$A:$A,Annex!H402)</f>
        <v>0</v>
      </c>
      <c r="R402">
        <f>COUNTIFS(Grunnspill!$A:$A,Annex!I402)</f>
        <v>0</v>
      </c>
    </row>
    <row r="403" spans="1:18" x14ac:dyDescent="0.2">
      <c r="A403">
        <v>400</v>
      </c>
      <c r="B403" s="1" t="s">
        <v>102</v>
      </c>
      <c r="C403" s="1" t="s">
        <v>107</v>
      </c>
      <c r="D403" s="1" t="s">
        <v>112</v>
      </c>
      <c r="E403" s="1" t="s">
        <v>111</v>
      </c>
      <c r="F403" s="1" t="s">
        <v>113</v>
      </c>
      <c r="G403" s="1" t="s">
        <v>106</v>
      </c>
      <c r="H403" s="1" t="s">
        <v>108</v>
      </c>
      <c r="I403" s="1" t="s">
        <v>109</v>
      </c>
      <c r="J403">
        <f t="shared" si="8"/>
        <v>0</v>
      </c>
      <c r="K403">
        <f>COUNTIFS(Grunnspill!$A:$A,Annex!B403)</f>
        <v>0</v>
      </c>
      <c r="L403">
        <f>COUNTIFS(Grunnspill!$A:$A,Annex!C403)</f>
        <v>0</v>
      </c>
      <c r="M403">
        <f>COUNTIFS(Grunnspill!$A:$A,Annex!D403)</f>
        <v>0</v>
      </c>
      <c r="N403">
        <f>COUNTIFS(Grunnspill!$A:$A,Annex!E403)</f>
        <v>0</v>
      </c>
      <c r="O403">
        <f>COUNTIFS(Grunnspill!$A:$A,Annex!F403)</f>
        <v>0</v>
      </c>
      <c r="P403">
        <f>COUNTIFS(Grunnspill!$A:$A,Annex!G403)</f>
        <v>0</v>
      </c>
      <c r="Q403">
        <f>COUNTIFS(Grunnspill!$A:$A,Annex!H403)</f>
        <v>0</v>
      </c>
      <c r="R403">
        <f>COUNTIFS(Grunnspill!$A:$A,Annex!I403)</f>
        <v>0</v>
      </c>
    </row>
    <row r="404" spans="1:18" x14ac:dyDescent="0.2">
      <c r="A404">
        <v>401</v>
      </c>
      <c r="B404" s="1" t="s">
        <v>106</v>
      </c>
      <c r="C404" s="1" t="s">
        <v>103</v>
      </c>
      <c r="D404" s="1" t="s">
        <v>112</v>
      </c>
      <c r="E404" s="1" t="s">
        <v>111</v>
      </c>
      <c r="F404" s="1" t="s">
        <v>113</v>
      </c>
      <c r="G404" s="1" t="s">
        <v>107</v>
      </c>
      <c r="H404" s="1" t="s">
        <v>108</v>
      </c>
      <c r="I404" s="1" t="s">
        <v>102</v>
      </c>
      <c r="J404">
        <f t="shared" si="8"/>
        <v>0</v>
      </c>
      <c r="K404">
        <f>COUNTIFS(Grunnspill!$A:$A,Annex!B404)</f>
        <v>0</v>
      </c>
      <c r="L404">
        <f>COUNTIFS(Grunnspill!$A:$A,Annex!C404)</f>
        <v>0</v>
      </c>
      <c r="M404">
        <f>COUNTIFS(Grunnspill!$A:$A,Annex!D404)</f>
        <v>0</v>
      </c>
      <c r="N404">
        <f>COUNTIFS(Grunnspill!$A:$A,Annex!E404)</f>
        <v>0</v>
      </c>
      <c r="O404">
        <f>COUNTIFS(Grunnspill!$A:$A,Annex!F404)</f>
        <v>0</v>
      </c>
      <c r="P404">
        <f>COUNTIFS(Grunnspill!$A:$A,Annex!G404)</f>
        <v>0</v>
      </c>
      <c r="Q404">
        <f>COUNTIFS(Grunnspill!$A:$A,Annex!H404)</f>
        <v>0</v>
      </c>
      <c r="R404">
        <f>COUNTIFS(Grunnspill!$A:$A,Annex!I404)</f>
        <v>0</v>
      </c>
    </row>
    <row r="405" spans="1:18" x14ac:dyDescent="0.2">
      <c r="A405">
        <v>402</v>
      </c>
      <c r="B405" s="1" t="s">
        <v>106</v>
      </c>
      <c r="C405" s="1" t="s">
        <v>103</v>
      </c>
      <c r="D405" s="1" t="s">
        <v>112</v>
      </c>
      <c r="E405" s="1" t="s">
        <v>111</v>
      </c>
      <c r="F405" s="1" t="s">
        <v>113</v>
      </c>
      <c r="G405" s="1" t="s">
        <v>107</v>
      </c>
      <c r="H405" s="1" t="s">
        <v>102</v>
      </c>
      <c r="I405" s="1" t="s">
        <v>109</v>
      </c>
      <c r="J405">
        <f t="shared" si="8"/>
        <v>0</v>
      </c>
      <c r="K405">
        <f>COUNTIFS(Grunnspill!$A:$A,Annex!B405)</f>
        <v>0</v>
      </c>
      <c r="L405">
        <f>COUNTIFS(Grunnspill!$A:$A,Annex!C405)</f>
        <v>0</v>
      </c>
      <c r="M405">
        <f>COUNTIFS(Grunnspill!$A:$A,Annex!D405)</f>
        <v>0</v>
      </c>
      <c r="N405">
        <f>COUNTIFS(Grunnspill!$A:$A,Annex!E405)</f>
        <v>0</v>
      </c>
      <c r="O405">
        <f>COUNTIFS(Grunnspill!$A:$A,Annex!F405)</f>
        <v>0</v>
      </c>
      <c r="P405">
        <f>COUNTIFS(Grunnspill!$A:$A,Annex!G405)</f>
        <v>0</v>
      </c>
      <c r="Q405">
        <f>COUNTIFS(Grunnspill!$A:$A,Annex!H405)</f>
        <v>0</v>
      </c>
      <c r="R405">
        <f>COUNTIFS(Grunnspill!$A:$A,Annex!I405)</f>
        <v>0</v>
      </c>
    </row>
    <row r="406" spans="1:18" x14ac:dyDescent="0.2">
      <c r="A406">
        <v>403</v>
      </c>
      <c r="B406" s="1" t="s">
        <v>102</v>
      </c>
      <c r="C406" s="1" t="s">
        <v>107</v>
      </c>
      <c r="D406" s="1" t="s">
        <v>112</v>
      </c>
      <c r="E406" s="1" t="s">
        <v>111</v>
      </c>
      <c r="F406" s="1" t="s">
        <v>113</v>
      </c>
      <c r="G406" s="1" t="s">
        <v>106</v>
      </c>
      <c r="H406" s="1" t="s">
        <v>108</v>
      </c>
      <c r="I406" s="1" t="s">
        <v>104</v>
      </c>
      <c r="J406">
        <f t="shared" ref="J406:J469" si="9">SUM(K406:R406)</f>
        <v>0</v>
      </c>
      <c r="K406">
        <f>COUNTIFS(Grunnspill!$A:$A,Annex!B406)</f>
        <v>0</v>
      </c>
      <c r="L406">
        <f>COUNTIFS(Grunnspill!$A:$A,Annex!C406)</f>
        <v>0</v>
      </c>
      <c r="M406">
        <f>COUNTIFS(Grunnspill!$A:$A,Annex!D406)</f>
        <v>0</v>
      </c>
      <c r="N406">
        <f>COUNTIFS(Grunnspill!$A:$A,Annex!E406)</f>
        <v>0</v>
      </c>
      <c r="O406">
        <f>COUNTIFS(Grunnspill!$A:$A,Annex!F406)</f>
        <v>0</v>
      </c>
      <c r="P406">
        <f>COUNTIFS(Grunnspill!$A:$A,Annex!G406)</f>
        <v>0</v>
      </c>
      <c r="Q406">
        <f>COUNTIFS(Grunnspill!$A:$A,Annex!H406)</f>
        <v>0</v>
      </c>
      <c r="R406">
        <f>COUNTIFS(Grunnspill!$A:$A,Annex!I406)</f>
        <v>0</v>
      </c>
    </row>
    <row r="407" spans="1:18" x14ac:dyDescent="0.2">
      <c r="A407">
        <v>404</v>
      </c>
      <c r="B407" s="1" t="s">
        <v>102</v>
      </c>
      <c r="C407" s="1" t="s">
        <v>107</v>
      </c>
      <c r="D407" s="1" t="s">
        <v>112</v>
      </c>
      <c r="E407" s="1" t="s">
        <v>111</v>
      </c>
      <c r="F407" s="1" t="s">
        <v>113</v>
      </c>
      <c r="G407" s="1" t="s">
        <v>106</v>
      </c>
      <c r="H407" s="1" t="s">
        <v>104</v>
      </c>
      <c r="I407" s="1" t="s">
        <v>109</v>
      </c>
      <c r="J407">
        <f t="shared" si="9"/>
        <v>0</v>
      </c>
      <c r="K407">
        <f>COUNTIFS(Grunnspill!$A:$A,Annex!B407)</f>
        <v>0</v>
      </c>
      <c r="L407">
        <f>COUNTIFS(Grunnspill!$A:$A,Annex!C407)</f>
        <v>0</v>
      </c>
      <c r="M407">
        <f>COUNTIFS(Grunnspill!$A:$A,Annex!D407)</f>
        <v>0</v>
      </c>
      <c r="N407">
        <f>COUNTIFS(Grunnspill!$A:$A,Annex!E407)</f>
        <v>0</v>
      </c>
      <c r="O407">
        <f>COUNTIFS(Grunnspill!$A:$A,Annex!F407)</f>
        <v>0</v>
      </c>
      <c r="P407">
        <f>COUNTIFS(Grunnspill!$A:$A,Annex!G407)</f>
        <v>0</v>
      </c>
      <c r="Q407">
        <f>COUNTIFS(Grunnspill!$A:$A,Annex!H407)</f>
        <v>0</v>
      </c>
      <c r="R407">
        <f>COUNTIFS(Grunnspill!$A:$A,Annex!I407)</f>
        <v>0</v>
      </c>
    </row>
    <row r="408" spans="1:18" x14ac:dyDescent="0.2">
      <c r="A408">
        <v>405</v>
      </c>
      <c r="B408" s="1" t="s">
        <v>106</v>
      </c>
      <c r="C408" s="1" t="s">
        <v>103</v>
      </c>
      <c r="D408" s="1" t="s">
        <v>112</v>
      </c>
      <c r="E408" s="1" t="s">
        <v>111</v>
      </c>
      <c r="F408" s="1" t="s">
        <v>113</v>
      </c>
      <c r="G408" s="1" t="s">
        <v>107</v>
      </c>
      <c r="H408" s="1" t="s">
        <v>102</v>
      </c>
      <c r="I408" s="1" t="s">
        <v>104</v>
      </c>
      <c r="J408">
        <f t="shared" si="9"/>
        <v>0</v>
      </c>
      <c r="K408">
        <f>COUNTIFS(Grunnspill!$A:$A,Annex!B408)</f>
        <v>0</v>
      </c>
      <c r="L408">
        <f>COUNTIFS(Grunnspill!$A:$A,Annex!C408)</f>
        <v>0</v>
      </c>
      <c r="M408">
        <f>COUNTIFS(Grunnspill!$A:$A,Annex!D408)</f>
        <v>0</v>
      </c>
      <c r="N408">
        <f>COUNTIFS(Grunnspill!$A:$A,Annex!E408)</f>
        <v>0</v>
      </c>
      <c r="O408">
        <f>COUNTIFS(Grunnspill!$A:$A,Annex!F408)</f>
        <v>0</v>
      </c>
      <c r="P408">
        <f>COUNTIFS(Grunnspill!$A:$A,Annex!G408)</f>
        <v>0</v>
      </c>
      <c r="Q408">
        <f>COUNTIFS(Grunnspill!$A:$A,Annex!H408)</f>
        <v>0</v>
      </c>
      <c r="R408">
        <f>COUNTIFS(Grunnspill!$A:$A,Annex!I408)</f>
        <v>0</v>
      </c>
    </row>
    <row r="409" spans="1:18" x14ac:dyDescent="0.2">
      <c r="A409">
        <v>406</v>
      </c>
      <c r="B409" s="1" t="s">
        <v>102</v>
      </c>
      <c r="C409" s="1" t="s">
        <v>103</v>
      </c>
      <c r="D409" s="1" t="s">
        <v>112</v>
      </c>
      <c r="E409" s="1" t="s">
        <v>111</v>
      </c>
      <c r="F409" s="1" t="s">
        <v>113</v>
      </c>
      <c r="G409" s="1" t="s">
        <v>105</v>
      </c>
      <c r="H409" s="1" t="s">
        <v>108</v>
      </c>
      <c r="I409" s="1" t="s">
        <v>109</v>
      </c>
      <c r="J409">
        <f t="shared" si="9"/>
        <v>0</v>
      </c>
      <c r="K409">
        <f>COUNTIFS(Grunnspill!$A:$A,Annex!B409)</f>
        <v>0</v>
      </c>
      <c r="L409">
        <f>COUNTIFS(Grunnspill!$A:$A,Annex!C409)</f>
        <v>0</v>
      </c>
      <c r="M409">
        <f>COUNTIFS(Grunnspill!$A:$A,Annex!D409)</f>
        <v>0</v>
      </c>
      <c r="N409">
        <f>COUNTIFS(Grunnspill!$A:$A,Annex!E409)</f>
        <v>0</v>
      </c>
      <c r="O409">
        <f>COUNTIFS(Grunnspill!$A:$A,Annex!F409)</f>
        <v>0</v>
      </c>
      <c r="P409">
        <f>COUNTIFS(Grunnspill!$A:$A,Annex!G409)</f>
        <v>0</v>
      </c>
      <c r="Q409">
        <f>COUNTIFS(Grunnspill!$A:$A,Annex!H409)</f>
        <v>0</v>
      </c>
      <c r="R409">
        <f>COUNTIFS(Grunnspill!$A:$A,Annex!I409)</f>
        <v>0</v>
      </c>
    </row>
    <row r="410" spans="1:18" x14ac:dyDescent="0.2">
      <c r="A410">
        <v>407</v>
      </c>
      <c r="B410" s="1" t="s">
        <v>102</v>
      </c>
      <c r="C410" s="1" t="s">
        <v>104</v>
      </c>
      <c r="D410" s="1" t="s">
        <v>112</v>
      </c>
      <c r="E410" s="1" t="s">
        <v>111</v>
      </c>
      <c r="F410" s="1" t="s">
        <v>113</v>
      </c>
      <c r="G410" s="1" t="s">
        <v>105</v>
      </c>
      <c r="H410" s="1" t="s">
        <v>108</v>
      </c>
      <c r="I410" s="1" t="s">
        <v>109</v>
      </c>
      <c r="J410">
        <f t="shared" si="9"/>
        <v>0</v>
      </c>
      <c r="K410">
        <f>COUNTIFS(Grunnspill!$A:$A,Annex!B410)</f>
        <v>0</v>
      </c>
      <c r="L410">
        <f>COUNTIFS(Grunnspill!$A:$A,Annex!C410)</f>
        <v>0</v>
      </c>
      <c r="M410">
        <f>COUNTIFS(Grunnspill!$A:$A,Annex!D410)</f>
        <v>0</v>
      </c>
      <c r="N410">
        <f>COUNTIFS(Grunnspill!$A:$A,Annex!E410)</f>
        <v>0</v>
      </c>
      <c r="O410">
        <f>COUNTIFS(Grunnspill!$A:$A,Annex!F410)</f>
        <v>0</v>
      </c>
      <c r="P410">
        <f>COUNTIFS(Grunnspill!$A:$A,Annex!G410)</f>
        <v>0</v>
      </c>
      <c r="Q410">
        <f>COUNTIFS(Grunnspill!$A:$A,Annex!H410)</f>
        <v>0</v>
      </c>
      <c r="R410">
        <f>COUNTIFS(Grunnspill!$A:$A,Annex!I410)</f>
        <v>0</v>
      </c>
    </row>
    <row r="411" spans="1:18" x14ac:dyDescent="0.2">
      <c r="A411">
        <v>408</v>
      </c>
      <c r="B411" s="1" t="s">
        <v>102</v>
      </c>
      <c r="C411" s="1" t="s">
        <v>103</v>
      </c>
      <c r="D411" s="1" t="s">
        <v>112</v>
      </c>
      <c r="E411" s="1" t="s">
        <v>111</v>
      </c>
      <c r="F411" s="1" t="s">
        <v>113</v>
      </c>
      <c r="G411" s="1" t="s">
        <v>105</v>
      </c>
      <c r="H411" s="1" t="s">
        <v>108</v>
      </c>
      <c r="I411" s="1" t="s">
        <v>104</v>
      </c>
      <c r="J411">
        <f t="shared" si="9"/>
        <v>0</v>
      </c>
      <c r="K411">
        <f>COUNTIFS(Grunnspill!$A:$A,Annex!B411)</f>
        <v>0</v>
      </c>
      <c r="L411">
        <f>COUNTIFS(Grunnspill!$A:$A,Annex!C411)</f>
        <v>0</v>
      </c>
      <c r="M411">
        <f>COUNTIFS(Grunnspill!$A:$A,Annex!D411)</f>
        <v>0</v>
      </c>
      <c r="N411">
        <f>COUNTIFS(Grunnspill!$A:$A,Annex!E411)</f>
        <v>0</v>
      </c>
      <c r="O411">
        <f>COUNTIFS(Grunnspill!$A:$A,Annex!F411)</f>
        <v>0</v>
      </c>
      <c r="P411">
        <f>COUNTIFS(Grunnspill!$A:$A,Annex!G411)</f>
        <v>0</v>
      </c>
      <c r="Q411">
        <f>COUNTIFS(Grunnspill!$A:$A,Annex!H411)</f>
        <v>0</v>
      </c>
      <c r="R411">
        <f>COUNTIFS(Grunnspill!$A:$A,Annex!I411)</f>
        <v>0</v>
      </c>
    </row>
    <row r="412" spans="1:18" x14ac:dyDescent="0.2">
      <c r="A412">
        <v>409</v>
      </c>
      <c r="B412" s="1" t="s">
        <v>102</v>
      </c>
      <c r="C412" s="1" t="s">
        <v>103</v>
      </c>
      <c r="D412" s="1" t="s">
        <v>112</v>
      </c>
      <c r="E412" s="1" t="s">
        <v>111</v>
      </c>
      <c r="F412" s="1" t="s">
        <v>113</v>
      </c>
      <c r="G412" s="1" t="s">
        <v>105</v>
      </c>
      <c r="H412" s="1" t="s">
        <v>104</v>
      </c>
      <c r="I412" s="1" t="s">
        <v>109</v>
      </c>
      <c r="J412">
        <f t="shared" si="9"/>
        <v>0</v>
      </c>
      <c r="K412">
        <f>COUNTIFS(Grunnspill!$A:$A,Annex!B412)</f>
        <v>0</v>
      </c>
      <c r="L412">
        <f>COUNTIFS(Grunnspill!$A:$A,Annex!C412)</f>
        <v>0</v>
      </c>
      <c r="M412">
        <f>COUNTIFS(Grunnspill!$A:$A,Annex!D412)</f>
        <v>0</v>
      </c>
      <c r="N412">
        <f>COUNTIFS(Grunnspill!$A:$A,Annex!E412)</f>
        <v>0</v>
      </c>
      <c r="O412">
        <f>COUNTIFS(Grunnspill!$A:$A,Annex!F412)</f>
        <v>0</v>
      </c>
      <c r="P412">
        <f>COUNTIFS(Grunnspill!$A:$A,Annex!G412)</f>
        <v>0</v>
      </c>
      <c r="Q412">
        <f>COUNTIFS(Grunnspill!$A:$A,Annex!H412)</f>
        <v>0</v>
      </c>
      <c r="R412">
        <f>COUNTIFS(Grunnspill!$A:$A,Annex!I412)</f>
        <v>0</v>
      </c>
    </row>
    <row r="413" spans="1:18" x14ac:dyDescent="0.2">
      <c r="A413">
        <v>410</v>
      </c>
      <c r="B413" s="1" t="s">
        <v>106</v>
      </c>
      <c r="C413" s="1" t="s">
        <v>102</v>
      </c>
      <c r="D413" s="1" t="s">
        <v>112</v>
      </c>
      <c r="E413" s="1" t="s">
        <v>111</v>
      </c>
      <c r="F413" s="1" t="s">
        <v>113</v>
      </c>
      <c r="G413" s="1" t="s">
        <v>105</v>
      </c>
      <c r="H413" s="1" t="s">
        <v>108</v>
      </c>
      <c r="I413" s="1" t="s">
        <v>109</v>
      </c>
      <c r="J413">
        <f t="shared" si="9"/>
        <v>0</v>
      </c>
      <c r="K413">
        <f>COUNTIFS(Grunnspill!$A:$A,Annex!B413)</f>
        <v>0</v>
      </c>
      <c r="L413">
        <f>COUNTIFS(Grunnspill!$A:$A,Annex!C413)</f>
        <v>0</v>
      </c>
      <c r="M413">
        <f>COUNTIFS(Grunnspill!$A:$A,Annex!D413)</f>
        <v>0</v>
      </c>
      <c r="N413">
        <f>COUNTIFS(Grunnspill!$A:$A,Annex!E413)</f>
        <v>0</v>
      </c>
      <c r="O413">
        <f>COUNTIFS(Grunnspill!$A:$A,Annex!F413)</f>
        <v>0</v>
      </c>
      <c r="P413">
        <f>COUNTIFS(Grunnspill!$A:$A,Annex!G413)</f>
        <v>0</v>
      </c>
      <c r="Q413">
        <f>COUNTIFS(Grunnspill!$A:$A,Annex!H413)</f>
        <v>0</v>
      </c>
      <c r="R413">
        <f>COUNTIFS(Grunnspill!$A:$A,Annex!I413)</f>
        <v>0</v>
      </c>
    </row>
    <row r="414" spans="1:18" x14ac:dyDescent="0.2">
      <c r="A414">
        <v>411</v>
      </c>
      <c r="B414" s="1" t="s">
        <v>106</v>
      </c>
      <c r="C414" s="1" t="s">
        <v>103</v>
      </c>
      <c r="D414" s="1" t="s">
        <v>112</v>
      </c>
      <c r="E414" s="1" t="s">
        <v>111</v>
      </c>
      <c r="F414" s="1" t="s">
        <v>113</v>
      </c>
      <c r="G414" s="1" t="s">
        <v>105</v>
      </c>
      <c r="H414" s="1" t="s">
        <v>108</v>
      </c>
      <c r="I414" s="1" t="s">
        <v>102</v>
      </c>
      <c r="J414">
        <f t="shared" si="9"/>
        <v>0</v>
      </c>
      <c r="K414">
        <f>COUNTIFS(Grunnspill!$A:$A,Annex!B414)</f>
        <v>0</v>
      </c>
      <c r="L414">
        <f>COUNTIFS(Grunnspill!$A:$A,Annex!C414)</f>
        <v>0</v>
      </c>
      <c r="M414">
        <f>COUNTIFS(Grunnspill!$A:$A,Annex!D414)</f>
        <v>0</v>
      </c>
      <c r="N414">
        <f>COUNTIFS(Grunnspill!$A:$A,Annex!E414)</f>
        <v>0</v>
      </c>
      <c r="O414">
        <f>COUNTIFS(Grunnspill!$A:$A,Annex!F414)</f>
        <v>0</v>
      </c>
      <c r="P414">
        <f>COUNTIFS(Grunnspill!$A:$A,Annex!G414)</f>
        <v>0</v>
      </c>
      <c r="Q414">
        <f>COUNTIFS(Grunnspill!$A:$A,Annex!H414)</f>
        <v>0</v>
      </c>
      <c r="R414">
        <f>COUNTIFS(Grunnspill!$A:$A,Annex!I414)</f>
        <v>0</v>
      </c>
    </row>
    <row r="415" spans="1:18" x14ac:dyDescent="0.2">
      <c r="A415">
        <v>412</v>
      </c>
      <c r="B415" s="1" t="s">
        <v>106</v>
      </c>
      <c r="C415" s="1" t="s">
        <v>103</v>
      </c>
      <c r="D415" s="1" t="s">
        <v>112</v>
      </c>
      <c r="E415" s="1" t="s">
        <v>111</v>
      </c>
      <c r="F415" s="1" t="s">
        <v>113</v>
      </c>
      <c r="G415" s="1" t="s">
        <v>105</v>
      </c>
      <c r="H415" s="1" t="s">
        <v>102</v>
      </c>
      <c r="I415" s="1" t="s">
        <v>109</v>
      </c>
      <c r="J415">
        <f t="shared" si="9"/>
        <v>0</v>
      </c>
      <c r="K415">
        <f>COUNTIFS(Grunnspill!$A:$A,Annex!B415)</f>
        <v>0</v>
      </c>
      <c r="L415">
        <f>COUNTIFS(Grunnspill!$A:$A,Annex!C415)</f>
        <v>0</v>
      </c>
      <c r="M415">
        <f>COUNTIFS(Grunnspill!$A:$A,Annex!D415)</f>
        <v>0</v>
      </c>
      <c r="N415">
        <f>COUNTIFS(Grunnspill!$A:$A,Annex!E415)</f>
        <v>0</v>
      </c>
      <c r="O415">
        <f>COUNTIFS(Grunnspill!$A:$A,Annex!F415)</f>
        <v>0</v>
      </c>
      <c r="P415">
        <f>COUNTIFS(Grunnspill!$A:$A,Annex!G415)</f>
        <v>0</v>
      </c>
      <c r="Q415">
        <f>COUNTIFS(Grunnspill!$A:$A,Annex!H415)</f>
        <v>0</v>
      </c>
      <c r="R415">
        <f>COUNTIFS(Grunnspill!$A:$A,Annex!I415)</f>
        <v>0</v>
      </c>
    </row>
    <row r="416" spans="1:18" x14ac:dyDescent="0.2">
      <c r="A416">
        <v>413</v>
      </c>
      <c r="B416" s="1" t="s">
        <v>106</v>
      </c>
      <c r="C416" s="1" t="s">
        <v>102</v>
      </c>
      <c r="D416" s="1" t="s">
        <v>112</v>
      </c>
      <c r="E416" s="1" t="s">
        <v>111</v>
      </c>
      <c r="F416" s="1" t="s">
        <v>113</v>
      </c>
      <c r="G416" s="1" t="s">
        <v>105</v>
      </c>
      <c r="H416" s="1" t="s">
        <v>108</v>
      </c>
      <c r="I416" s="1" t="s">
        <v>104</v>
      </c>
      <c r="J416">
        <f t="shared" si="9"/>
        <v>0</v>
      </c>
      <c r="K416">
        <f>COUNTIFS(Grunnspill!$A:$A,Annex!B416)</f>
        <v>0</v>
      </c>
      <c r="L416">
        <f>COUNTIFS(Grunnspill!$A:$A,Annex!C416)</f>
        <v>0</v>
      </c>
      <c r="M416">
        <f>COUNTIFS(Grunnspill!$A:$A,Annex!D416)</f>
        <v>0</v>
      </c>
      <c r="N416">
        <f>COUNTIFS(Grunnspill!$A:$A,Annex!E416)</f>
        <v>0</v>
      </c>
      <c r="O416">
        <f>COUNTIFS(Grunnspill!$A:$A,Annex!F416)</f>
        <v>0</v>
      </c>
      <c r="P416">
        <f>COUNTIFS(Grunnspill!$A:$A,Annex!G416)</f>
        <v>0</v>
      </c>
      <c r="Q416">
        <f>COUNTIFS(Grunnspill!$A:$A,Annex!H416)</f>
        <v>0</v>
      </c>
      <c r="R416">
        <f>COUNTIFS(Grunnspill!$A:$A,Annex!I416)</f>
        <v>0</v>
      </c>
    </row>
    <row r="417" spans="1:18" x14ac:dyDescent="0.2">
      <c r="A417">
        <v>414</v>
      </c>
      <c r="B417" s="1" t="s">
        <v>106</v>
      </c>
      <c r="C417" s="1" t="s">
        <v>102</v>
      </c>
      <c r="D417" s="1" t="s">
        <v>112</v>
      </c>
      <c r="E417" s="1" t="s">
        <v>111</v>
      </c>
      <c r="F417" s="1" t="s">
        <v>113</v>
      </c>
      <c r="G417" s="1" t="s">
        <v>105</v>
      </c>
      <c r="H417" s="1" t="s">
        <v>104</v>
      </c>
      <c r="I417" s="1" t="s">
        <v>109</v>
      </c>
      <c r="J417">
        <f t="shared" si="9"/>
        <v>0</v>
      </c>
      <c r="K417">
        <f>COUNTIFS(Grunnspill!$A:$A,Annex!B417)</f>
        <v>0</v>
      </c>
      <c r="L417">
        <f>COUNTIFS(Grunnspill!$A:$A,Annex!C417)</f>
        <v>0</v>
      </c>
      <c r="M417">
        <f>COUNTIFS(Grunnspill!$A:$A,Annex!D417)</f>
        <v>0</v>
      </c>
      <c r="N417">
        <f>COUNTIFS(Grunnspill!$A:$A,Annex!E417)</f>
        <v>0</v>
      </c>
      <c r="O417">
        <f>COUNTIFS(Grunnspill!$A:$A,Annex!F417)</f>
        <v>0</v>
      </c>
      <c r="P417">
        <f>COUNTIFS(Grunnspill!$A:$A,Annex!G417)</f>
        <v>0</v>
      </c>
      <c r="Q417">
        <f>COUNTIFS(Grunnspill!$A:$A,Annex!H417)</f>
        <v>0</v>
      </c>
      <c r="R417">
        <f>COUNTIFS(Grunnspill!$A:$A,Annex!I417)</f>
        <v>0</v>
      </c>
    </row>
    <row r="418" spans="1:18" x14ac:dyDescent="0.2">
      <c r="A418">
        <v>415</v>
      </c>
      <c r="B418" s="1" t="s">
        <v>106</v>
      </c>
      <c r="C418" s="1" t="s">
        <v>103</v>
      </c>
      <c r="D418" s="1" t="s">
        <v>112</v>
      </c>
      <c r="E418" s="1" t="s">
        <v>111</v>
      </c>
      <c r="F418" s="1" t="s">
        <v>113</v>
      </c>
      <c r="G418" s="1" t="s">
        <v>105</v>
      </c>
      <c r="H418" s="1" t="s">
        <v>102</v>
      </c>
      <c r="I418" s="1" t="s">
        <v>104</v>
      </c>
      <c r="J418">
        <f t="shared" si="9"/>
        <v>0</v>
      </c>
      <c r="K418">
        <f>COUNTIFS(Grunnspill!$A:$A,Annex!B418)</f>
        <v>0</v>
      </c>
      <c r="L418">
        <f>COUNTIFS(Grunnspill!$A:$A,Annex!C418)</f>
        <v>0</v>
      </c>
      <c r="M418">
        <f>COUNTIFS(Grunnspill!$A:$A,Annex!D418)</f>
        <v>0</v>
      </c>
      <c r="N418">
        <f>COUNTIFS(Grunnspill!$A:$A,Annex!E418)</f>
        <v>0</v>
      </c>
      <c r="O418">
        <f>COUNTIFS(Grunnspill!$A:$A,Annex!F418)</f>
        <v>0</v>
      </c>
      <c r="P418">
        <f>COUNTIFS(Grunnspill!$A:$A,Annex!G418)</f>
        <v>0</v>
      </c>
      <c r="Q418">
        <f>COUNTIFS(Grunnspill!$A:$A,Annex!H418)</f>
        <v>0</v>
      </c>
      <c r="R418">
        <f>COUNTIFS(Grunnspill!$A:$A,Annex!I418)</f>
        <v>0</v>
      </c>
    </row>
    <row r="419" spans="1:18" x14ac:dyDescent="0.2">
      <c r="A419">
        <v>416</v>
      </c>
      <c r="B419" s="1" t="s">
        <v>102</v>
      </c>
      <c r="C419" s="1" t="s">
        <v>107</v>
      </c>
      <c r="D419" s="1" t="s">
        <v>112</v>
      </c>
      <c r="E419" s="1" t="s">
        <v>111</v>
      </c>
      <c r="F419" s="1" t="s">
        <v>113</v>
      </c>
      <c r="G419" s="1" t="s">
        <v>105</v>
      </c>
      <c r="H419" s="1" t="s">
        <v>108</v>
      </c>
      <c r="I419" s="1" t="s">
        <v>109</v>
      </c>
      <c r="J419">
        <f t="shared" si="9"/>
        <v>0</v>
      </c>
      <c r="K419">
        <f>COUNTIFS(Grunnspill!$A:$A,Annex!B419)</f>
        <v>0</v>
      </c>
      <c r="L419">
        <f>COUNTIFS(Grunnspill!$A:$A,Annex!C419)</f>
        <v>0</v>
      </c>
      <c r="M419">
        <f>COUNTIFS(Grunnspill!$A:$A,Annex!D419)</f>
        <v>0</v>
      </c>
      <c r="N419">
        <f>COUNTIFS(Grunnspill!$A:$A,Annex!E419)</f>
        <v>0</v>
      </c>
      <c r="O419">
        <f>COUNTIFS(Grunnspill!$A:$A,Annex!F419)</f>
        <v>0</v>
      </c>
      <c r="P419">
        <f>COUNTIFS(Grunnspill!$A:$A,Annex!G419)</f>
        <v>0</v>
      </c>
      <c r="Q419">
        <f>COUNTIFS(Grunnspill!$A:$A,Annex!H419)</f>
        <v>0</v>
      </c>
      <c r="R419">
        <f>COUNTIFS(Grunnspill!$A:$A,Annex!I419)</f>
        <v>0</v>
      </c>
    </row>
    <row r="420" spans="1:18" x14ac:dyDescent="0.2">
      <c r="A420">
        <v>417</v>
      </c>
      <c r="B420" s="1" t="s">
        <v>102</v>
      </c>
      <c r="C420" s="1" t="s">
        <v>107</v>
      </c>
      <c r="D420" s="1" t="s">
        <v>112</v>
      </c>
      <c r="E420" s="1" t="s">
        <v>111</v>
      </c>
      <c r="F420" s="1" t="s">
        <v>113</v>
      </c>
      <c r="G420" s="1" t="s">
        <v>105</v>
      </c>
      <c r="H420" s="1" t="s">
        <v>108</v>
      </c>
      <c r="I420" s="1" t="s">
        <v>103</v>
      </c>
      <c r="J420">
        <f t="shared" si="9"/>
        <v>0</v>
      </c>
      <c r="K420">
        <f>COUNTIFS(Grunnspill!$A:$A,Annex!B420)</f>
        <v>0</v>
      </c>
      <c r="L420">
        <f>COUNTIFS(Grunnspill!$A:$A,Annex!C420)</f>
        <v>0</v>
      </c>
      <c r="M420">
        <f>COUNTIFS(Grunnspill!$A:$A,Annex!D420)</f>
        <v>0</v>
      </c>
      <c r="N420">
        <f>COUNTIFS(Grunnspill!$A:$A,Annex!E420)</f>
        <v>0</v>
      </c>
      <c r="O420">
        <f>COUNTIFS(Grunnspill!$A:$A,Annex!F420)</f>
        <v>0</v>
      </c>
      <c r="P420">
        <f>COUNTIFS(Grunnspill!$A:$A,Annex!G420)</f>
        <v>0</v>
      </c>
      <c r="Q420">
        <f>COUNTIFS(Grunnspill!$A:$A,Annex!H420)</f>
        <v>0</v>
      </c>
      <c r="R420">
        <f>COUNTIFS(Grunnspill!$A:$A,Annex!I420)</f>
        <v>0</v>
      </c>
    </row>
    <row r="421" spans="1:18" x14ac:dyDescent="0.2">
      <c r="A421">
        <v>418</v>
      </c>
      <c r="B421" s="1" t="s">
        <v>102</v>
      </c>
      <c r="C421" s="1" t="s">
        <v>107</v>
      </c>
      <c r="D421" s="1" t="s">
        <v>112</v>
      </c>
      <c r="E421" s="1" t="s">
        <v>111</v>
      </c>
      <c r="F421" s="1" t="s">
        <v>113</v>
      </c>
      <c r="G421" s="1" t="s">
        <v>105</v>
      </c>
      <c r="H421" s="1" t="s">
        <v>103</v>
      </c>
      <c r="I421" s="1" t="s">
        <v>109</v>
      </c>
      <c r="J421">
        <f t="shared" si="9"/>
        <v>0</v>
      </c>
      <c r="K421">
        <f>COUNTIFS(Grunnspill!$A:$A,Annex!B421)</f>
        <v>0</v>
      </c>
      <c r="L421">
        <f>COUNTIFS(Grunnspill!$A:$A,Annex!C421)</f>
        <v>0</v>
      </c>
      <c r="M421">
        <f>COUNTIFS(Grunnspill!$A:$A,Annex!D421)</f>
        <v>0</v>
      </c>
      <c r="N421">
        <f>COUNTIFS(Grunnspill!$A:$A,Annex!E421)</f>
        <v>0</v>
      </c>
      <c r="O421">
        <f>COUNTIFS(Grunnspill!$A:$A,Annex!F421)</f>
        <v>0</v>
      </c>
      <c r="P421">
        <f>COUNTIFS(Grunnspill!$A:$A,Annex!G421)</f>
        <v>0</v>
      </c>
      <c r="Q421">
        <f>COUNTIFS(Grunnspill!$A:$A,Annex!H421)</f>
        <v>0</v>
      </c>
      <c r="R421">
        <f>COUNTIFS(Grunnspill!$A:$A,Annex!I421)</f>
        <v>0</v>
      </c>
    </row>
    <row r="422" spans="1:18" x14ac:dyDescent="0.2">
      <c r="A422">
        <v>419</v>
      </c>
      <c r="B422" s="1" t="s">
        <v>102</v>
      </c>
      <c r="C422" s="1" t="s">
        <v>107</v>
      </c>
      <c r="D422" s="1" t="s">
        <v>112</v>
      </c>
      <c r="E422" s="1" t="s">
        <v>111</v>
      </c>
      <c r="F422" s="1" t="s">
        <v>113</v>
      </c>
      <c r="G422" s="1" t="s">
        <v>105</v>
      </c>
      <c r="H422" s="1" t="s">
        <v>108</v>
      </c>
      <c r="I422" s="1" t="s">
        <v>104</v>
      </c>
      <c r="J422">
        <f t="shared" si="9"/>
        <v>0</v>
      </c>
      <c r="K422">
        <f>COUNTIFS(Grunnspill!$A:$A,Annex!B422)</f>
        <v>0</v>
      </c>
      <c r="L422">
        <f>COUNTIFS(Grunnspill!$A:$A,Annex!C422)</f>
        <v>0</v>
      </c>
      <c r="M422">
        <f>COUNTIFS(Grunnspill!$A:$A,Annex!D422)</f>
        <v>0</v>
      </c>
      <c r="N422">
        <f>COUNTIFS(Grunnspill!$A:$A,Annex!E422)</f>
        <v>0</v>
      </c>
      <c r="O422">
        <f>COUNTIFS(Grunnspill!$A:$A,Annex!F422)</f>
        <v>0</v>
      </c>
      <c r="P422">
        <f>COUNTIFS(Grunnspill!$A:$A,Annex!G422)</f>
        <v>0</v>
      </c>
      <c r="Q422">
        <f>COUNTIFS(Grunnspill!$A:$A,Annex!H422)</f>
        <v>0</v>
      </c>
      <c r="R422">
        <f>COUNTIFS(Grunnspill!$A:$A,Annex!I422)</f>
        <v>0</v>
      </c>
    </row>
    <row r="423" spans="1:18" x14ac:dyDescent="0.2">
      <c r="A423">
        <v>420</v>
      </c>
      <c r="B423" s="1" t="s">
        <v>102</v>
      </c>
      <c r="C423" s="1" t="s">
        <v>107</v>
      </c>
      <c r="D423" s="1" t="s">
        <v>112</v>
      </c>
      <c r="E423" s="1" t="s">
        <v>111</v>
      </c>
      <c r="F423" s="1" t="s">
        <v>113</v>
      </c>
      <c r="G423" s="1" t="s">
        <v>105</v>
      </c>
      <c r="H423" s="1" t="s">
        <v>104</v>
      </c>
      <c r="I423" s="1" t="s">
        <v>109</v>
      </c>
      <c r="J423">
        <f t="shared" si="9"/>
        <v>0</v>
      </c>
      <c r="K423">
        <f>COUNTIFS(Grunnspill!$A:$A,Annex!B423)</f>
        <v>0</v>
      </c>
      <c r="L423">
        <f>COUNTIFS(Grunnspill!$A:$A,Annex!C423)</f>
        <v>0</v>
      </c>
      <c r="M423">
        <f>COUNTIFS(Grunnspill!$A:$A,Annex!D423)</f>
        <v>0</v>
      </c>
      <c r="N423">
        <f>COUNTIFS(Grunnspill!$A:$A,Annex!E423)</f>
        <v>0</v>
      </c>
      <c r="O423">
        <f>COUNTIFS(Grunnspill!$A:$A,Annex!F423)</f>
        <v>0</v>
      </c>
      <c r="P423">
        <f>COUNTIFS(Grunnspill!$A:$A,Annex!G423)</f>
        <v>0</v>
      </c>
      <c r="Q423">
        <f>COUNTIFS(Grunnspill!$A:$A,Annex!H423)</f>
        <v>0</v>
      </c>
      <c r="R423">
        <f>COUNTIFS(Grunnspill!$A:$A,Annex!I423)</f>
        <v>0</v>
      </c>
    </row>
    <row r="424" spans="1:18" x14ac:dyDescent="0.2">
      <c r="A424">
        <v>421</v>
      </c>
      <c r="B424" s="1" t="s">
        <v>102</v>
      </c>
      <c r="C424" s="1" t="s">
        <v>107</v>
      </c>
      <c r="D424" s="1" t="s">
        <v>112</v>
      </c>
      <c r="E424" s="1" t="s">
        <v>111</v>
      </c>
      <c r="F424" s="1" t="s">
        <v>113</v>
      </c>
      <c r="G424" s="1" t="s">
        <v>105</v>
      </c>
      <c r="H424" s="1" t="s">
        <v>104</v>
      </c>
      <c r="I424" s="1" t="s">
        <v>103</v>
      </c>
      <c r="J424">
        <f t="shared" si="9"/>
        <v>0</v>
      </c>
      <c r="K424">
        <f>COUNTIFS(Grunnspill!$A:$A,Annex!B424)</f>
        <v>0</v>
      </c>
      <c r="L424">
        <f>COUNTIFS(Grunnspill!$A:$A,Annex!C424)</f>
        <v>0</v>
      </c>
      <c r="M424">
        <f>COUNTIFS(Grunnspill!$A:$A,Annex!D424)</f>
        <v>0</v>
      </c>
      <c r="N424">
        <f>COUNTIFS(Grunnspill!$A:$A,Annex!E424)</f>
        <v>0</v>
      </c>
      <c r="O424">
        <f>COUNTIFS(Grunnspill!$A:$A,Annex!F424)</f>
        <v>0</v>
      </c>
      <c r="P424">
        <f>COUNTIFS(Grunnspill!$A:$A,Annex!G424)</f>
        <v>0</v>
      </c>
      <c r="Q424">
        <f>COUNTIFS(Grunnspill!$A:$A,Annex!H424)</f>
        <v>0</v>
      </c>
      <c r="R424">
        <f>COUNTIFS(Grunnspill!$A:$A,Annex!I424)</f>
        <v>0</v>
      </c>
    </row>
    <row r="425" spans="1:18" x14ac:dyDescent="0.2">
      <c r="A425">
        <v>422</v>
      </c>
      <c r="B425" s="1" t="s">
        <v>106</v>
      </c>
      <c r="C425" s="1" t="s">
        <v>107</v>
      </c>
      <c r="D425" s="1" t="s">
        <v>112</v>
      </c>
      <c r="E425" s="1" t="s">
        <v>111</v>
      </c>
      <c r="F425" s="1" t="s">
        <v>113</v>
      </c>
      <c r="G425" s="1" t="s">
        <v>105</v>
      </c>
      <c r="H425" s="1" t="s">
        <v>108</v>
      </c>
      <c r="I425" s="1" t="s">
        <v>102</v>
      </c>
      <c r="J425">
        <f t="shared" si="9"/>
        <v>0</v>
      </c>
      <c r="K425">
        <f>COUNTIFS(Grunnspill!$A:$A,Annex!B425)</f>
        <v>0</v>
      </c>
      <c r="L425">
        <f>COUNTIFS(Grunnspill!$A:$A,Annex!C425)</f>
        <v>0</v>
      </c>
      <c r="M425">
        <f>COUNTIFS(Grunnspill!$A:$A,Annex!D425)</f>
        <v>0</v>
      </c>
      <c r="N425">
        <f>COUNTIFS(Grunnspill!$A:$A,Annex!E425)</f>
        <v>0</v>
      </c>
      <c r="O425">
        <f>COUNTIFS(Grunnspill!$A:$A,Annex!F425)</f>
        <v>0</v>
      </c>
      <c r="P425">
        <f>COUNTIFS(Grunnspill!$A:$A,Annex!G425)</f>
        <v>0</v>
      </c>
      <c r="Q425">
        <f>COUNTIFS(Grunnspill!$A:$A,Annex!H425)</f>
        <v>0</v>
      </c>
      <c r="R425">
        <f>COUNTIFS(Grunnspill!$A:$A,Annex!I425)</f>
        <v>0</v>
      </c>
    </row>
    <row r="426" spans="1:18" x14ac:dyDescent="0.2">
      <c r="A426">
        <v>423</v>
      </c>
      <c r="B426" s="1" t="s">
        <v>106</v>
      </c>
      <c r="C426" s="1" t="s">
        <v>107</v>
      </c>
      <c r="D426" s="1" t="s">
        <v>112</v>
      </c>
      <c r="E426" s="1" t="s">
        <v>111</v>
      </c>
      <c r="F426" s="1" t="s">
        <v>113</v>
      </c>
      <c r="G426" s="1" t="s">
        <v>105</v>
      </c>
      <c r="H426" s="1" t="s">
        <v>102</v>
      </c>
      <c r="I426" s="1" t="s">
        <v>109</v>
      </c>
      <c r="J426">
        <f t="shared" si="9"/>
        <v>0</v>
      </c>
      <c r="K426">
        <f>COUNTIFS(Grunnspill!$A:$A,Annex!B426)</f>
        <v>0</v>
      </c>
      <c r="L426">
        <f>COUNTIFS(Grunnspill!$A:$A,Annex!C426)</f>
        <v>0</v>
      </c>
      <c r="M426">
        <f>COUNTIFS(Grunnspill!$A:$A,Annex!D426)</f>
        <v>0</v>
      </c>
      <c r="N426">
        <f>COUNTIFS(Grunnspill!$A:$A,Annex!E426)</f>
        <v>0</v>
      </c>
      <c r="O426">
        <f>COUNTIFS(Grunnspill!$A:$A,Annex!F426)</f>
        <v>0</v>
      </c>
      <c r="P426">
        <f>COUNTIFS(Grunnspill!$A:$A,Annex!G426)</f>
        <v>0</v>
      </c>
      <c r="Q426">
        <f>COUNTIFS(Grunnspill!$A:$A,Annex!H426)</f>
        <v>0</v>
      </c>
      <c r="R426">
        <f>COUNTIFS(Grunnspill!$A:$A,Annex!I426)</f>
        <v>0</v>
      </c>
    </row>
    <row r="427" spans="1:18" x14ac:dyDescent="0.2">
      <c r="A427">
        <v>424</v>
      </c>
      <c r="B427" s="1" t="s">
        <v>106</v>
      </c>
      <c r="C427" s="1" t="s">
        <v>107</v>
      </c>
      <c r="D427" s="1" t="s">
        <v>112</v>
      </c>
      <c r="E427" s="1" t="s">
        <v>111</v>
      </c>
      <c r="F427" s="1" t="s">
        <v>113</v>
      </c>
      <c r="G427" s="1" t="s">
        <v>105</v>
      </c>
      <c r="H427" s="1" t="s">
        <v>102</v>
      </c>
      <c r="I427" s="1" t="s">
        <v>103</v>
      </c>
      <c r="J427">
        <f t="shared" si="9"/>
        <v>0</v>
      </c>
      <c r="K427">
        <f>COUNTIFS(Grunnspill!$A:$A,Annex!B427)</f>
        <v>0</v>
      </c>
      <c r="L427">
        <f>COUNTIFS(Grunnspill!$A:$A,Annex!C427)</f>
        <v>0</v>
      </c>
      <c r="M427">
        <f>COUNTIFS(Grunnspill!$A:$A,Annex!D427)</f>
        <v>0</v>
      </c>
      <c r="N427">
        <f>COUNTIFS(Grunnspill!$A:$A,Annex!E427)</f>
        <v>0</v>
      </c>
      <c r="O427">
        <f>COUNTIFS(Grunnspill!$A:$A,Annex!F427)</f>
        <v>0</v>
      </c>
      <c r="P427">
        <f>COUNTIFS(Grunnspill!$A:$A,Annex!G427)</f>
        <v>0</v>
      </c>
      <c r="Q427">
        <f>COUNTIFS(Grunnspill!$A:$A,Annex!H427)</f>
        <v>0</v>
      </c>
      <c r="R427">
        <f>COUNTIFS(Grunnspill!$A:$A,Annex!I427)</f>
        <v>0</v>
      </c>
    </row>
    <row r="428" spans="1:18" x14ac:dyDescent="0.2">
      <c r="A428">
        <v>425</v>
      </c>
      <c r="B428" s="1" t="s">
        <v>106</v>
      </c>
      <c r="C428" s="1" t="s">
        <v>107</v>
      </c>
      <c r="D428" s="1" t="s">
        <v>112</v>
      </c>
      <c r="E428" s="1" t="s">
        <v>111</v>
      </c>
      <c r="F428" s="1" t="s">
        <v>113</v>
      </c>
      <c r="G428" s="1" t="s">
        <v>105</v>
      </c>
      <c r="H428" s="1" t="s">
        <v>102</v>
      </c>
      <c r="I428" s="1" t="s">
        <v>104</v>
      </c>
      <c r="J428">
        <f t="shared" si="9"/>
        <v>0</v>
      </c>
      <c r="K428">
        <f>COUNTIFS(Grunnspill!$A:$A,Annex!B428)</f>
        <v>0</v>
      </c>
      <c r="L428">
        <f>COUNTIFS(Grunnspill!$A:$A,Annex!C428)</f>
        <v>0</v>
      </c>
      <c r="M428">
        <f>COUNTIFS(Grunnspill!$A:$A,Annex!D428)</f>
        <v>0</v>
      </c>
      <c r="N428">
        <f>COUNTIFS(Grunnspill!$A:$A,Annex!E428)</f>
        <v>0</v>
      </c>
      <c r="O428">
        <f>COUNTIFS(Grunnspill!$A:$A,Annex!F428)</f>
        <v>0</v>
      </c>
      <c r="P428">
        <f>COUNTIFS(Grunnspill!$A:$A,Annex!G428)</f>
        <v>0</v>
      </c>
      <c r="Q428">
        <f>COUNTIFS(Grunnspill!$A:$A,Annex!H428)</f>
        <v>0</v>
      </c>
      <c r="R428">
        <f>COUNTIFS(Grunnspill!$A:$A,Annex!I428)</f>
        <v>0</v>
      </c>
    </row>
    <row r="429" spans="1:18" x14ac:dyDescent="0.2">
      <c r="A429">
        <v>426</v>
      </c>
      <c r="B429" s="1" t="s">
        <v>104</v>
      </c>
      <c r="C429" s="1" t="s">
        <v>103</v>
      </c>
      <c r="D429" s="1" t="s">
        <v>112</v>
      </c>
      <c r="E429" s="1" t="s">
        <v>111</v>
      </c>
      <c r="F429" s="1" t="s">
        <v>113</v>
      </c>
      <c r="G429" s="1" t="s">
        <v>110</v>
      </c>
      <c r="H429" s="1" t="s">
        <v>108</v>
      </c>
      <c r="I429" s="1" t="s">
        <v>109</v>
      </c>
      <c r="J429">
        <f t="shared" si="9"/>
        <v>0</v>
      </c>
      <c r="K429">
        <f>COUNTIFS(Grunnspill!$A:$A,Annex!B429)</f>
        <v>0</v>
      </c>
      <c r="L429">
        <f>COUNTIFS(Grunnspill!$A:$A,Annex!C429)</f>
        <v>0</v>
      </c>
      <c r="M429">
        <f>COUNTIFS(Grunnspill!$A:$A,Annex!D429)</f>
        <v>0</v>
      </c>
      <c r="N429">
        <f>COUNTIFS(Grunnspill!$A:$A,Annex!E429)</f>
        <v>0</v>
      </c>
      <c r="O429">
        <f>COUNTIFS(Grunnspill!$A:$A,Annex!F429)</f>
        <v>0</v>
      </c>
      <c r="P429">
        <f>COUNTIFS(Grunnspill!$A:$A,Annex!G429)</f>
        <v>0</v>
      </c>
      <c r="Q429">
        <f>COUNTIFS(Grunnspill!$A:$A,Annex!H429)</f>
        <v>0</v>
      </c>
      <c r="R429">
        <f>COUNTIFS(Grunnspill!$A:$A,Annex!I429)</f>
        <v>0</v>
      </c>
    </row>
    <row r="430" spans="1:18" x14ac:dyDescent="0.2">
      <c r="A430">
        <v>427</v>
      </c>
      <c r="B430" s="1" t="s">
        <v>106</v>
      </c>
      <c r="C430" s="1" t="s">
        <v>103</v>
      </c>
      <c r="D430" s="1" t="s">
        <v>112</v>
      </c>
      <c r="E430" s="1" t="s">
        <v>111</v>
      </c>
      <c r="F430" s="1" t="s">
        <v>113</v>
      </c>
      <c r="G430" s="1" t="s">
        <v>110</v>
      </c>
      <c r="H430" s="1" t="s">
        <v>108</v>
      </c>
      <c r="I430" s="1" t="s">
        <v>109</v>
      </c>
      <c r="J430">
        <f t="shared" si="9"/>
        <v>0</v>
      </c>
      <c r="K430">
        <f>COUNTIFS(Grunnspill!$A:$A,Annex!B430)</f>
        <v>0</v>
      </c>
      <c r="L430">
        <f>COUNTIFS(Grunnspill!$A:$A,Annex!C430)</f>
        <v>0</v>
      </c>
      <c r="M430">
        <f>COUNTIFS(Grunnspill!$A:$A,Annex!D430)</f>
        <v>0</v>
      </c>
      <c r="N430">
        <f>COUNTIFS(Grunnspill!$A:$A,Annex!E430)</f>
        <v>0</v>
      </c>
      <c r="O430">
        <f>COUNTIFS(Grunnspill!$A:$A,Annex!F430)</f>
        <v>0</v>
      </c>
      <c r="P430">
        <f>COUNTIFS(Grunnspill!$A:$A,Annex!G430)</f>
        <v>0</v>
      </c>
      <c r="Q430">
        <f>COUNTIFS(Grunnspill!$A:$A,Annex!H430)</f>
        <v>0</v>
      </c>
      <c r="R430">
        <f>COUNTIFS(Grunnspill!$A:$A,Annex!I430)</f>
        <v>0</v>
      </c>
    </row>
    <row r="431" spans="1:18" x14ac:dyDescent="0.2">
      <c r="A431">
        <v>428</v>
      </c>
      <c r="B431" s="1" t="s">
        <v>106</v>
      </c>
      <c r="C431" s="1" t="s">
        <v>104</v>
      </c>
      <c r="D431" s="1" t="s">
        <v>112</v>
      </c>
      <c r="E431" s="1" t="s">
        <v>111</v>
      </c>
      <c r="F431" s="1" t="s">
        <v>113</v>
      </c>
      <c r="G431" s="1" t="s">
        <v>110</v>
      </c>
      <c r="H431" s="1" t="s">
        <v>108</v>
      </c>
      <c r="I431" s="1" t="s">
        <v>109</v>
      </c>
      <c r="J431">
        <f t="shared" si="9"/>
        <v>0</v>
      </c>
      <c r="K431">
        <f>COUNTIFS(Grunnspill!$A:$A,Annex!B431)</f>
        <v>0</v>
      </c>
      <c r="L431">
        <f>COUNTIFS(Grunnspill!$A:$A,Annex!C431)</f>
        <v>0</v>
      </c>
      <c r="M431">
        <f>COUNTIFS(Grunnspill!$A:$A,Annex!D431)</f>
        <v>0</v>
      </c>
      <c r="N431">
        <f>COUNTIFS(Grunnspill!$A:$A,Annex!E431)</f>
        <v>0</v>
      </c>
      <c r="O431">
        <f>COUNTIFS(Grunnspill!$A:$A,Annex!F431)</f>
        <v>0</v>
      </c>
      <c r="P431">
        <f>COUNTIFS(Grunnspill!$A:$A,Annex!G431)</f>
        <v>0</v>
      </c>
      <c r="Q431">
        <f>COUNTIFS(Grunnspill!$A:$A,Annex!H431)</f>
        <v>0</v>
      </c>
      <c r="R431">
        <f>COUNTIFS(Grunnspill!$A:$A,Annex!I431)</f>
        <v>0</v>
      </c>
    </row>
    <row r="432" spans="1:18" x14ac:dyDescent="0.2">
      <c r="A432">
        <v>429</v>
      </c>
      <c r="B432" s="1" t="s">
        <v>106</v>
      </c>
      <c r="C432" s="1" t="s">
        <v>103</v>
      </c>
      <c r="D432" s="1" t="s">
        <v>112</v>
      </c>
      <c r="E432" s="1" t="s">
        <v>111</v>
      </c>
      <c r="F432" s="1" t="s">
        <v>113</v>
      </c>
      <c r="G432" s="1" t="s">
        <v>110</v>
      </c>
      <c r="H432" s="1" t="s">
        <v>108</v>
      </c>
      <c r="I432" s="1" t="s">
        <v>104</v>
      </c>
      <c r="J432">
        <f t="shared" si="9"/>
        <v>0</v>
      </c>
      <c r="K432">
        <f>COUNTIFS(Grunnspill!$A:$A,Annex!B432)</f>
        <v>0</v>
      </c>
      <c r="L432">
        <f>COUNTIFS(Grunnspill!$A:$A,Annex!C432)</f>
        <v>0</v>
      </c>
      <c r="M432">
        <f>COUNTIFS(Grunnspill!$A:$A,Annex!D432)</f>
        <v>0</v>
      </c>
      <c r="N432">
        <f>COUNTIFS(Grunnspill!$A:$A,Annex!E432)</f>
        <v>0</v>
      </c>
      <c r="O432">
        <f>COUNTIFS(Grunnspill!$A:$A,Annex!F432)</f>
        <v>0</v>
      </c>
      <c r="P432">
        <f>COUNTIFS(Grunnspill!$A:$A,Annex!G432)</f>
        <v>0</v>
      </c>
      <c r="Q432">
        <f>COUNTIFS(Grunnspill!$A:$A,Annex!H432)</f>
        <v>0</v>
      </c>
      <c r="R432">
        <f>COUNTIFS(Grunnspill!$A:$A,Annex!I432)</f>
        <v>0</v>
      </c>
    </row>
    <row r="433" spans="1:18" x14ac:dyDescent="0.2">
      <c r="A433">
        <v>430</v>
      </c>
      <c r="B433" s="1" t="s">
        <v>106</v>
      </c>
      <c r="C433" s="1" t="s">
        <v>103</v>
      </c>
      <c r="D433" s="1" t="s">
        <v>112</v>
      </c>
      <c r="E433" s="1" t="s">
        <v>111</v>
      </c>
      <c r="F433" s="1" t="s">
        <v>113</v>
      </c>
      <c r="G433" s="1" t="s">
        <v>110</v>
      </c>
      <c r="H433" s="1" t="s">
        <v>104</v>
      </c>
      <c r="I433" s="1" t="s">
        <v>109</v>
      </c>
      <c r="J433">
        <f t="shared" si="9"/>
        <v>0</v>
      </c>
      <c r="K433">
        <f>COUNTIFS(Grunnspill!$A:$A,Annex!B433)</f>
        <v>0</v>
      </c>
      <c r="L433">
        <f>COUNTIFS(Grunnspill!$A:$A,Annex!C433)</f>
        <v>0</v>
      </c>
      <c r="M433">
        <f>COUNTIFS(Grunnspill!$A:$A,Annex!D433)</f>
        <v>0</v>
      </c>
      <c r="N433">
        <f>COUNTIFS(Grunnspill!$A:$A,Annex!E433)</f>
        <v>0</v>
      </c>
      <c r="O433">
        <f>COUNTIFS(Grunnspill!$A:$A,Annex!F433)</f>
        <v>0</v>
      </c>
      <c r="P433">
        <f>COUNTIFS(Grunnspill!$A:$A,Annex!G433)</f>
        <v>0</v>
      </c>
      <c r="Q433">
        <f>COUNTIFS(Grunnspill!$A:$A,Annex!H433)</f>
        <v>0</v>
      </c>
      <c r="R433">
        <f>COUNTIFS(Grunnspill!$A:$A,Annex!I433)</f>
        <v>0</v>
      </c>
    </row>
    <row r="434" spans="1:18" x14ac:dyDescent="0.2">
      <c r="A434">
        <v>431</v>
      </c>
      <c r="B434" s="1" t="s">
        <v>111</v>
      </c>
      <c r="C434" s="1" t="s">
        <v>103</v>
      </c>
      <c r="D434" s="1" t="s">
        <v>112</v>
      </c>
      <c r="E434" s="1" t="s">
        <v>110</v>
      </c>
      <c r="F434" s="1" t="s">
        <v>113</v>
      </c>
      <c r="G434" s="1" t="s">
        <v>107</v>
      </c>
      <c r="H434" s="1" t="s">
        <v>108</v>
      </c>
      <c r="I434" s="1" t="s">
        <v>109</v>
      </c>
      <c r="J434">
        <f t="shared" si="9"/>
        <v>0</v>
      </c>
      <c r="K434">
        <f>COUNTIFS(Grunnspill!$A:$A,Annex!B434)</f>
        <v>0</v>
      </c>
      <c r="L434">
        <f>COUNTIFS(Grunnspill!$A:$A,Annex!C434)</f>
        <v>0</v>
      </c>
      <c r="M434">
        <f>COUNTIFS(Grunnspill!$A:$A,Annex!D434)</f>
        <v>0</v>
      </c>
      <c r="N434">
        <f>COUNTIFS(Grunnspill!$A:$A,Annex!E434)</f>
        <v>0</v>
      </c>
      <c r="O434">
        <f>COUNTIFS(Grunnspill!$A:$A,Annex!F434)</f>
        <v>0</v>
      </c>
      <c r="P434">
        <f>COUNTIFS(Grunnspill!$A:$A,Annex!G434)</f>
        <v>0</v>
      </c>
      <c r="Q434">
        <f>COUNTIFS(Grunnspill!$A:$A,Annex!H434)</f>
        <v>0</v>
      </c>
      <c r="R434">
        <f>COUNTIFS(Grunnspill!$A:$A,Annex!I434)</f>
        <v>0</v>
      </c>
    </row>
    <row r="435" spans="1:18" x14ac:dyDescent="0.2">
      <c r="A435">
        <v>432</v>
      </c>
      <c r="B435" s="1" t="s">
        <v>104</v>
      </c>
      <c r="C435" s="1" t="s">
        <v>107</v>
      </c>
      <c r="D435" s="1" t="s">
        <v>112</v>
      </c>
      <c r="E435" s="1" t="s">
        <v>111</v>
      </c>
      <c r="F435" s="1" t="s">
        <v>113</v>
      </c>
      <c r="G435" s="1" t="s">
        <v>110</v>
      </c>
      <c r="H435" s="1" t="s">
        <v>108</v>
      </c>
      <c r="I435" s="1" t="s">
        <v>109</v>
      </c>
      <c r="J435">
        <f t="shared" si="9"/>
        <v>0</v>
      </c>
      <c r="K435">
        <f>COUNTIFS(Grunnspill!$A:$A,Annex!B435)</f>
        <v>0</v>
      </c>
      <c r="L435">
        <f>COUNTIFS(Grunnspill!$A:$A,Annex!C435)</f>
        <v>0</v>
      </c>
      <c r="M435">
        <f>COUNTIFS(Grunnspill!$A:$A,Annex!D435)</f>
        <v>0</v>
      </c>
      <c r="N435">
        <f>COUNTIFS(Grunnspill!$A:$A,Annex!E435)</f>
        <v>0</v>
      </c>
      <c r="O435">
        <f>COUNTIFS(Grunnspill!$A:$A,Annex!F435)</f>
        <v>0</v>
      </c>
      <c r="P435">
        <f>COUNTIFS(Grunnspill!$A:$A,Annex!G435)</f>
        <v>0</v>
      </c>
      <c r="Q435">
        <f>COUNTIFS(Grunnspill!$A:$A,Annex!H435)</f>
        <v>0</v>
      </c>
      <c r="R435">
        <f>COUNTIFS(Grunnspill!$A:$A,Annex!I435)</f>
        <v>0</v>
      </c>
    </row>
    <row r="436" spans="1:18" x14ac:dyDescent="0.2">
      <c r="A436">
        <v>433</v>
      </c>
      <c r="B436" s="1" t="s">
        <v>111</v>
      </c>
      <c r="C436" s="1" t="s">
        <v>103</v>
      </c>
      <c r="D436" s="1" t="s">
        <v>112</v>
      </c>
      <c r="E436" s="1" t="s">
        <v>110</v>
      </c>
      <c r="F436" s="1" t="s">
        <v>113</v>
      </c>
      <c r="G436" s="1" t="s">
        <v>107</v>
      </c>
      <c r="H436" s="1" t="s">
        <v>108</v>
      </c>
      <c r="I436" s="1" t="s">
        <v>104</v>
      </c>
      <c r="J436">
        <f t="shared" si="9"/>
        <v>0</v>
      </c>
      <c r="K436">
        <f>COUNTIFS(Grunnspill!$A:$A,Annex!B436)</f>
        <v>0</v>
      </c>
      <c r="L436">
        <f>COUNTIFS(Grunnspill!$A:$A,Annex!C436)</f>
        <v>0</v>
      </c>
      <c r="M436">
        <f>COUNTIFS(Grunnspill!$A:$A,Annex!D436)</f>
        <v>0</v>
      </c>
      <c r="N436">
        <f>COUNTIFS(Grunnspill!$A:$A,Annex!E436)</f>
        <v>0</v>
      </c>
      <c r="O436">
        <f>COUNTIFS(Grunnspill!$A:$A,Annex!F436)</f>
        <v>0</v>
      </c>
      <c r="P436">
        <f>COUNTIFS(Grunnspill!$A:$A,Annex!G436)</f>
        <v>0</v>
      </c>
      <c r="Q436">
        <f>COUNTIFS(Grunnspill!$A:$A,Annex!H436)</f>
        <v>0</v>
      </c>
      <c r="R436">
        <f>COUNTIFS(Grunnspill!$A:$A,Annex!I436)</f>
        <v>0</v>
      </c>
    </row>
    <row r="437" spans="1:18" x14ac:dyDescent="0.2">
      <c r="A437">
        <v>434</v>
      </c>
      <c r="B437" s="1" t="s">
        <v>111</v>
      </c>
      <c r="C437" s="1" t="s">
        <v>103</v>
      </c>
      <c r="D437" s="1" t="s">
        <v>112</v>
      </c>
      <c r="E437" s="1" t="s">
        <v>110</v>
      </c>
      <c r="F437" s="1" t="s">
        <v>113</v>
      </c>
      <c r="G437" s="1" t="s">
        <v>107</v>
      </c>
      <c r="H437" s="1" t="s">
        <v>104</v>
      </c>
      <c r="I437" s="1" t="s">
        <v>109</v>
      </c>
      <c r="J437">
        <f t="shared" si="9"/>
        <v>0</v>
      </c>
      <c r="K437">
        <f>COUNTIFS(Grunnspill!$A:$A,Annex!B437)</f>
        <v>0</v>
      </c>
      <c r="L437">
        <f>COUNTIFS(Grunnspill!$A:$A,Annex!C437)</f>
        <v>0</v>
      </c>
      <c r="M437">
        <f>COUNTIFS(Grunnspill!$A:$A,Annex!D437)</f>
        <v>0</v>
      </c>
      <c r="N437">
        <f>COUNTIFS(Grunnspill!$A:$A,Annex!E437)</f>
        <v>0</v>
      </c>
      <c r="O437">
        <f>COUNTIFS(Grunnspill!$A:$A,Annex!F437)</f>
        <v>0</v>
      </c>
      <c r="P437">
        <f>COUNTIFS(Grunnspill!$A:$A,Annex!G437)</f>
        <v>0</v>
      </c>
      <c r="Q437">
        <f>COUNTIFS(Grunnspill!$A:$A,Annex!H437)</f>
        <v>0</v>
      </c>
      <c r="R437">
        <f>COUNTIFS(Grunnspill!$A:$A,Annex!I437)</f>
        <v>0</v>
      </c>
    </row>
    <row r="438" spans="1:18" x14ac:dyDescent="0.2">
      <c r="A438">
        <v>435</v>
      </c>
      <c r="B438" s="1" t="s">
        <v>106</v>
      </c>
      <c r="C438" s="1" t="s">
        <v>107</v>
      </c>
      <c r="D438" s="1" t="s">
        <v>112</v>
      </c>
      <c r="E438" s="1" t="s">
        <v>111</v>
      </c>
      <c r="F438" s="1" t="s">
        <v>113</v>
      </c>
      <c r="G438" s="1" t="s">
        <v>110</v>
      </c>
      <c r="H438" s="1" t="s">
        <v>108</v>
      </c>
      <c r="I438" s="1" t="s">
        <v>109</v>
      </c>
      <c r="J438">
        <f t="shared" si="9"/>
        <v>0</v>
      </c>
      <c r="K438">
        <f>COUNTIFS(Grunnspill!$A:$A,Annex!B438)</f>
        <v>0</v>
      </c>
      <c r="L438">
        <f>COUNTIFS(Grunnspill!$A:$A,Annex!C438)</f>
        <v>0</v>
      </c>
      <c r="M438">
        <f>COUNTIFS(Grunnspill!$A:$A,Annex!D438)</f>
        <v>0</v>
      </c>
      <c r="N438">
        <f>COUNTIFS(Grunnspill!$A:$A,Annex!E438)</f>
        <v>0</v>
      </c>
      <c r="O438">
        <f>COUNTIFS(Grunnspill!$A:$A,Annex!F438)</f>
        <v>0</v>
      </c>
      <c r="P438">
        <f>COUNTIFS(Grunnspill!$A:$A,Annex!G438)</f>
        <v>0</v>
      </c>
      <c r="Q438">
        <f>COUNTIFS(Grunnspill!$A:$A,Annex!H438)</f>
        <v>0</v>
      </c>
      <c r="R438">
        <f>COUNTIFS(Grunnspill!$A:$A,Annex!I438)</f>
        <v>0</v>
      </c>
    </row>
    <row r="439" spans="1:18" x14ac:dyDescent="0.2">
      <c r="A439">
        <v>436</v>
      </c>
      <c r="B439" s="1" t="s">
        <v>106</v>
      </c>
      <c r="C439" s="1" t="s">
        <v>107</v>
      </c>
      <c r="D439" s="1" t="s">
        <v>112</v>
      </c>
      <c r="E439" s="1" t="s">
        <v>111</v>
      </c>
      <c r="F439" s="1" t="s">
        <v>113</v>
      </c>
      <c r="G439" s="1" t="s">
        <v>110</v>
      </c>
      <c r="H439" s="1" t="s">
        <v>108</v>
      </c>
      <c r="I439" s="1" t="s">
        <v>103</v>
      </c>
      <c r="J439">
        <f t="shared" si="9"/>
        <v>0</v>
      </c>
      <c r="K439">
        <f>COUNTIFS(Grunnspill!$A:$A,Annex!B439)</f>
        <v>0</v>
      </c>
      <c r="L439">
        <f>COUNTIFS(Grunnspill!$A:$A,Annex!C439)</f>
        <v>0</v>
      </c>
      <c r="M439">
        <f>COUNTIFS(Grunnspill!$A:$A,Annex!D439)</f>
        <v>0</v>
      </c>
      <c r="N439">
        <f>COUNTIFS(Grunnspill!$A:$A,Annex!E439)</f>
        <v>0</v>
      </c>
      <c r="O439">
        <f>COUNTIFS(Grunnspill!$A:$A,Annex!F439)</f>
        <v>0</v>
      </c>
      <c r="P439">
        <f>COUNTIFS(Grunnspill!$A:$A,Annex!G439)</f>
        <v>0</v>
      </c>
      <c r="Q439">
        <f>COUNTIFS(Grunnspill!$A:$A,Annex!H439)</f>
        <v>0</v>
      </c>
      <c r="R439">
        <f>COUNTIFS(Grunnspill!$A:$A,Annex!I439)</f>
        <v>0</v>
      </c>
    </row>
    <row r="440" spans="1:18" x14ac:dyDescent="0.2">
      <c r="A440">
        <v>437</v>
      </c>
      <c r="B440" s="1" t="s">
        <v>106</v>
      </c>
      <c r="C440" s="1" t="s">
        <v>107</v>
      </c>
      <c r="D440" s="1" t="s">
        <v>112</v>
      </c>
      <c r="E440" s="1" t="s">
        <v>111</v>
      </c>
      <c r="F440" s="1" t="s">
        <v>113</v>
      </c>
      <c r="G440" s="1" t="s">
        <v>110</v>
      </c>
      <c r="H440" s="1" t="s">
        <v>103</v>
      </c>
      <c r="I440" s="1" t="s">
        <v>109</v>
      </c>
      <c r="J440">
        <f t="shared" si="9"/>
        <v>0</v>
      </c>
      <c r="K440">
        <f>COUNTIFS(Grunnspill!$A:$A,Annex!B440)</f>
        <v>0</v>
      </c>
      <c r="L440">
        <f>COUNTIFS(Grunnspill!$A:$A,Annex!C440)</f>
        <v>0</v>
      </c>
      <c r="M440">
        <f>COUNTIFS(Grunnspill!$A:$A,Annex!D440)</f>
        <v>0</v>
      </c>
      <c r="N440">
        <f>COUNTIFS(Grunnspill!$A:$A,Annex!E440)</f>
        <v>0</v>
      </c>
      <c r="O440">
        <f>COUNTIFS(Grunnspill!$A:$A,Annex!F440)</f>
        <v>0</v>
      </c>
      <c r="P440">
        <f>COUNTIFS(Grunnspill!$A:$A,Annex!G440)</f>
        <v>0</v>
      </c>
      <c r="Q440">
        <f>COUNTIFS(Grunnspill!$A:$A,Annex!H440)</f>
        <v>0</v>
      </c>
      <c r="R440">
        <f>COUNTIFS(Grunnspill!$A:$A,Annex!I440)</f>
        <v>0</v>
      </c>
    </row>
    <row r="441" spans="1:18" x14ac:dyDescent="0.2">
      <c r="A441">
        <v>438</v>
      </c>
      <c r="B441" s="1" t="s">
        <v>106</v>
      </c>
      <c r="C441" s="1" t="s">
        <v>107</v>
      </c>
      <c r="D441" s="1" t="s">
        <v>112</v>
      </c>
      <c r="E441" s="1" t="s">
        <v>111</v>
      </c>
      <c r="F441" s="1" t="s">
        <v>113</v>
      </c>
      <c r="G441" s="1" t="s">
        <v>110</v>
      </c>
      <c r="H441" s="1" t="s">
        <v>108</v>
      </c>
      <c r="I441" s="1" t="s">
        <v>104</v>
      </c>
      <c r="J441">
        <f t="shared" si="9"/>
        <v>0</v>
      </c>
      <c r="K441">
        <f>COUNTIFS(Grunnspill!$A:$A,Annex!B441)</f>
        <v>0</v>
      </c>
      <c r="L441">
        <f>COUNTIFS(Grunnspill!$A:$A,Annex!C441)</f>
        <v>0</v>
      </c>
      <c r="M441">
        <f>COUNTIFS(Grunnspill!$A:$A,Annex!D441)</f>
        <v>0</v>
      </c>
      <c r="N441">
        <f>COUNTIFS(Grunnspill!$A:$A,Annex!E441)</f>
        <v>0</v>
      </c>
      <c r="O441">
        <f>COUNTIFS(Grunnspill!$A:$A,Annex!F441)</f>
        <v>0</v>
      </c>
      <c r="P441">
        <f>COUNTIFS(Grunnspill!$A:$A,Annex!G441)</f>
        <v>0</v>
      </c>
      <c r="Q441">
        <f>COUNTIFS(Grunnspill!$A:$A,Annex!H441)</f>
        <v>0</v>
      </c>
      <c r="R441">
        <f>COUNTIFS(Grunnspill!$A:$A,Annex!I441)</f>
        <v>0</v>
      </c>
    </row>
    <row r="442" spans="1:18" x14ac:dyDescent="0.2">
      <c r="A442">
        <v>439</v>
      </c>
      <c r="B442" s="1" t="s">
        <v>106</v>
      </c>
      <c r="C442" s="1" t="s">
        <v>107</v>
      </c>
      <c r="D442" s="1" t="s">
        <v>112</v>
      </c>
      <c r="E442" s="1" t="s">
        <v>111</v>
      </c>
      <c r="F442" s="1" t="s">
        <v>113</v>
      </c>
      <c r="G442" s="1" t="s">
        <v>110</v>
      </c>
      <c r="H442" s="1" t="s">
        <v>104</v>
      </c>
      <c r="I442" s="1" t="s">
        <v>109</v>
      </c>
      <c r="J442">
        <f t="shared" si="9"/>
        <v>0</v>
      </c>
      <c r="K442">
        <f>COUNTIFS(Grunnspill!$A:$A,Annex!B442)</f>
        <v>0</v>
      </c>
      <c r="L442">
        <f>COUNTIFS(Grunnspill!$A:$A,Annex!C442)</f>
        <v>0</v>
      </c>
      <c r="M442">
        <f>COUNTIFS(Grunnspill!$A:$A,Annex!D442)</f>
        <v>0</v>
      </c>
      <c r="N442">
        <f>COUNTIFS(Grunnspill!$A:$A,Annex!E442)</f>
        <v>0</v>
      </c>
      <c r="O442">
        <f>COUNTIFS(Grunnspill!$A:$A,Annex!F442)</f>
        <v>0</v>
      </c>
      <c r="P442">
        <f>COUNTIFS(Grunnspill!$A:$A,Annex!G442)</f>
        <v>0</v>
      </c>
      <c r="Q442">
        <f>COUNTIFS(Grunnspill!$A:$A,Annex!H442)</f>
        <v>0</v>
      </c>
      <c r="R442">
        <f>COUNTIFS(Grunnspill!$A:$A,Annex!I442)</f>
        <v>0</v>
      </c>
    </row>
    <row r="443" spans="1:18" x14ac:dyDescent="0.2">
      <c r="A443">
        <v>440</v>
      </c>
      <c r="B443" s="1" t="s">
        <v>106</v>
      </c>
      <c r="C443" s="1" t="s">
        <v>107</v>
      </c>
      <c r="D443" s="1" t="s">
        <v>112</v>
      </c>
      <c r="E443" s="1" t="s">
        <v>111</v>
      </c>
      <c r="F443" s="1" t="s">
        <v>113</v>
      </c>
      <c r="G443" s="1" t="s">
        <v>110</v>
      </c>
      <c r="H443" s="1" t="s">
        <v>104</v>
      </c>
      <c r="I443" s="1" t="s">
        <v>103</v>
      </c>
      <c r="J443">
        <f t="shared" si="9"/>
        <v>0</v>
      </c>
      <c r="K443">
        <f>COUNTIFS(Grunnspill!$A:$A,Annex!B443)</f>
        <v>0</v>
      </c>
      <c r="L443">
        <f>COUNTIFS(Grunnspill!$A:$A,Annex!C443)</f>
        <v>0</v>
      </c>
      <c r="M443">
        <f>COUNTIFS(Grunnspill!$A:$A,Annex!D443)</f>
        <v>0</v>
      </c>
      <c r="N443">
        <f>COUNTIFS(Grunnspill!$A:$A,Annex!E443)</f>
        <v>0</v>
      </c>
      <c r="O443">
        <f>COUNTIFS(Grunnspill!$A:$A,Annex!F443)</f>
        <v>0</v>
      </c>
      <c r="P443">
        <f>COUNTIFS(Grunnspill!$A:$A,Annex!G443)</f>
        <v>0</v>
      </c>
      <c r="Q443">
        <f>COUNTIFS(Grunnspill!$A:$A,Annex!H443)</f>
        <v>0</v>
      </c>
      <c r="R443">
        <f>COUNTIFS(Grunnspill!$A:$A,Annex!I443)</f>
        <v>0</v>
      </c>
    </row>
    <row r="444" spans="1:18" x14ac:dyDescent="0.2">
      <c r="A444">
        <v>441</v>
      </c>
      <c r="B444" s="1" t="s">
        <v>111</v>
      </c>
      <c r="C444" s="1" t="s">
        <v>103</v>
      </c>
      <c r="D444" s="1" t="s">
        <v>112</v>
      </c>
      <c r="E444" s="1" t="s">
        <v>110</v>
      </c>
      <c r="F444" s="1" t="s">
        <v>113</v>
      </c>
      <c r="G444" s="1" t="s">
        <v>105</v>
      </c>
      <c r="H444" s="1" t="s">
        <v>108</v>
      </c>
      <c r="I444" s="1" t="s">
        <v>109</v>
      </c>
      <c r="J444">
        <f t="shared" si="9"/>
        <v>0</v>
      </c>
      <c r="K444">
        <f>COUNTIFS(Grunnspill!$A:$A,Annex!B444)</f>
        <v>0</v>
      </c>
      <c r="L444">
        <f>COUNTIFS(Grunnspill!$A:$A,Annex!C444)</f>
        <v>0</v>
      </c>
      <c r="M444">
        <f>COUNTIFS(Grunnspill!$A:$A,Annex!D444)</f>
        <v>0</v>
      </c>
      <c r="N444">
        <f>COUNTIFS(Grunnspill!$A:$A,Annex!E444)</f>
        <v>0</v>
      </c>
      <c r="O444">
        <f>COUNTIFS(Grunnspill!$A:$A,Annex!F444)</f>
        <v>0</v>
      </c>
      <c r="P444">
        <f>COUNTIFS(Grunnspill!$A:$A,Annex!G444)</f>
        <v>0</v>
      </c>
      <c r="Q444">
        <f>COUNTIFS(Grunnspill!$A:$A,Annex!H444)</f>
        <v>0</v>
      </c>
      <c r="R444">
        <f>COUNTIFS(Grunnspill!$A:$A,Annex!I444)</f>
        <v>0</v>
      </c>
    </row>
    <row r="445" spans="1:18" x14ac:dyDescent="0.2">
      <c r="A445">
        <v>442</v>
      </c>
      <c r="B445" s="1" t="s">
        <v>111</v>
      </c>
      <c r="C445" s="1" t="s">
        <v>104</v>
      </c>
      <c r="D445" s="1" t="s">
        <v>112</v>
      </c>
      <c r="E445" s="1" t="s">
        <v>110</v>
      </c>
      <c r="F445" s="1" t="s">
        <v>113</v>
      </c>
      <c r="G445" s="1" t="s">
        <v>105</v>
      </c>
      <c r="H445" s="1" t="s">
        <v>108</v>
      </c>
      <c r="I445" s="1" t="s">
        <v>109</v>
      </c>
      <c r="J445">
        <f t="shared" si="9"/>
        <v>0</v>
      </c>
      <c r="K445">
        <f>COUNTIFS(Grunnspill!$A:$A,Annex!B445)</f>
        <v>0</v>
      </c>
      <c r="L445">
        <f>COUNTIFS(Grunnspill!$A:$A,Annex!C445)</f>
        <v>0</v>
      </c>
      <c r="M445">
        <f>COUNTIFS(Grunnspill!$A:$A,Annex!D445)</f>
        <v>0</v>
      </c>
      <c r="N445">
        <f>COUNTIFS(Grunnspill!$A:$A,Annex!E445)</f>
        <v>0</v>
      </c>
      <c r="O445">
        <f>COUNTIFS(Grunnspill!$A:$A,Annex!F445)</f>
        <v>0</v>
      </c>
      <c r="P445">
        <f>COUNTIFS(Grunnspill!$A:$A,Annex!G445)</f>
        <v>0</v>
      </c>
      <c r="Q445">
        <f>COUNTIFS(Grunnspill!$A:$A,Annex!H445)</f>
        <v>0</v>
      </c>
      <c r="R445">
        <f>COUNTIFS(Grunnspill!$A:$A,Annex!I445)</f>
        <v>0</v>
      </c>
    </row>
    <row r="446" spans="1:18" x14ac:dyDescent="0.2">
      <c r="A446">
        <v>443</v>
      </c>
      <c r="B446" s="1" t="s">
        <v>111</v>
      </c>
      <c r="C446" s="1" t="s">
        <v>103</v>
      </c>
      <c r="D446" s="1" t="s">
        <v>112</v>
      </c>
      <c r="E446" s="1" t="s">
        <v>110</v>
      </c>
      <c r="F446" s="1" t="s">
        <v>113</v>
      </c>
      <c r="G446" s="1" t="s">
        <v>105</v>
      </c>
      <c r="H446" s="1" t="s">
        <v>108</v>
      </c>
      <c r="I446" s="1" t="s">
        <v>104</v>
      </c>
      <c r="J446">
        <f t="shared" si="9"/>
        <v>0</v>
      </c>
      <c r="K446">
        <f>COUNTIFS(Grunnspill!$A:$A,Annex!B446)</f>
        <v>0</v>
      </c>
      <c r="L446">
        <f>COUNTIFS(Grunnspill!$A:$A,Annex!C446)</f>
        <v>0</v>
      </c>
      <c r="M446">
        <f>COUNTIFS(Grunnspill!$A:$A,Annex!D446)</f>
        <v>0</v>
      </c>
      <c r="N446">
        <f>COUNTIFS(Grunnspill!$A:$A,Annex!E446)</f>
        <v>0</v>
      </c>
      <c r="O446">
        <f>COUNTIFS(Grunnspill!$A:$A,Annex!F446)</f>
        <v>0</v>
      </c>
      <c r="P446">
        <f>COUNTIFS(Grunnspill!$A:$A,Annex!G446)</f>
        <v>0</v>
      </c>
      <c r="Q446">
        <f>COUNTIFS(Grunnspill!$A:$A,Annex!H446)</f>
        <v>0</v>
      </c>
      <c r="R446">
        <f>COUNTIFS(Grunnspill!$A:$A,Annex!I446)</f>
        <v>0</v>
      </c>
    </row>
    <row r="447" spans="1:18" x14ac:dyDescent="0.2">
      <c r="A447">
        <v>444</v>
      </c>
      <c r="B447" s="1" t="s">
        <v>111</v>
      </c>
      <c r="C447" s="1" t="s">
        <v>103</v>
      </c>
      <c r="D447" s="1" t="s">
        <v>112</v>
      </c>
      <c r="E447" s="1" t="s">
        <v>110</v>
      </c>
      <c r="F447" s="1" t="s">
        <v>113</v>
      </c>
      <c r="G447" s="1" t="s">
        <v>105</v>
      </c>
      <c r="H447" s="1" t="s">
        <v>104</v>
      </c>
      <c r="I447" s="1" t="s">
        <v>109</v>
      </c>
      <c r="J447">
        <f t="shared" si="9"/>
        <v>0</v>
      </c>
      <c r="K447">
        <f>COUNTIFS(Grunnspill!$A:$A,Annex!B447)</f>
        <v>0</v>
      </c>
      <c r="L447">
        <f>COUNTIFS(Grunnspill!$A:$A,Annex!C447)</f>
        <v>0</v>
      </c>
      <c r="M447">
        <f>COUNTIFS(Grunnspill!$A:$A,Annex!D447)</f>
        <v>0</v>
      </c>
      <c r="N447">
        <f>COUNTIFS(Grunnspill!$A:$A,Annex!E447)</f>
        <v>0</v>
      </c>
      <c r="O447">
        <f>COUNTIFS(Grunnspill!$A:$A,Annex!F447)</f>
        <v>0</v>
      </c>
      <c r="P447">
        <f>COUNTIFS(Grunnspill!$A:$A,Annex!G447)</f>
        <v>0</v>
      </c>
      <c r="Q447">
        <f>COUNTIFS(Grunnspill!$A:$A,Annex!H447)</f>
        <v>0</v>
      </c>
      <c r="R447">
        <f>COUNTIFS(Grunnspill!$A:$A,Annex!I447)</f>
        <v>0</v>
      </c>
    </row>
    <row r="448" spans="1:18" x14ac:dyDescent="0.2">
      <c r="A448">
        <v>445</v>
      </c>
      <c r="B448" s="1" t="s">
        <v>106</v>
      </c>
      <c r="C448" s="1" t="s">
        <v>105</v>
      </c>
      <c r="D448" s="1" t="s">
        <v>112</v>
      </c>
      <c r="E448" s="1" t="s">
        <v>111</v>
      </c>
      <c r="F448" s="1" t="s">
        <v>113</v>
      </c>
      <c r="G448" s="1" t="s">
        <v>110</v>
      </c>
      <c r="H448" s="1" t="s">
        <v>108</v>
      </c>
      <c r="I448" s="1" t="s">
        <v>109</v>
      </c>
      <c r="J448">
        <f t="shared" si="9"/>
        <v>0</v>
      </c>
      <c r="K448">
        <f>COUNTIFS(Grunnspill!$A:$A,Annex!B448)</f>
        <v>0</v>
      </c>
      <c r="L448">
        <f>COUNTIFS(Grunnspill!$A:$A,Annex!C448)</f>
        <v>0</v>
      </c>
      <c r="M448">
        <f>COUNTIFS(Grunnspill!$A:$A,Annex!D448)</f>
        <v>0</v>
      </c>
      <c r="N448">
        <f>COUNTIFS(Grunnspill!$A:$A,Annex!E448)</f>
        <v>0</v>
      </c>
      <c r="O448">
        <f>COUNTIFS(Grunnspill!$A:$A,Annex!F448)</f>
        <v>0</v>
      </c>
      <c r="P448">
        <f>COUNTIFS(Grunnspill!$A:$A,Annex!G448)</f>
        <v>0</v>
      </c>
      <c r="Q448">
        <f>COUNTIFS(Grunnspill!$A:$A,Annex!H448)</f>
        <v>0</v>
      </c>
      <c r="R448">
        <f>COUNTIFS(Grunnspill!$A:$A,Annex!I448)</f>
        <v>0</v>
      </c>
    </row>
    <row r="449" spans="1:18" x14ac:dyDescent="0.2">
      <c r="A449">
        <v>446</v>
      </c>
      <c r="B449" s="1" t="s">
        <v>111</v>
      </c>
      <c r="C449" s="1" t="s">
        <v>103</v>
      </c>
      <c r="D449" s="1" t="s">
        <v>112</v>
      </c>
      <c r="E449" s="1" t="s">
        <v>110</v>
      </c>
      <c r="F449" s="1" t="s">
        <v>113</v>
      </c>
      <c r="G449" s="1" t="s">
        <v>105</v>
      </c>
      <c r="H449" s="1" t="s">
        <v>108</v>
      </c>
      <c r="I449" s="1" t="s">
        <v>106</v>
      </c>
      <c r="J449">
        <f t="shared" si="9"/>
        <v>0</v>
      </c>
      <c r="K449">
        <f>COUNTIFS(Grunnspill!$A:$A,Annex!B449)</f>
        <v>0</v>
      </c>
      <c r="L449">
        <f>COUNTIFS(Grunnspill!$A:$A,Annex!C449)</f>
        <v>0</v>
      </c>
      <c r="M449">
        <f>COUNTIFS(Grunnspill!$A:$A,Annex!D449)</f>
        <v>0</v>
      </c>
      <c r="N449">
        <f>COUNTIFS(Grunnspill!$A:$A,Annex!E449)</f>
        <v>0</v>
      </c>
      <c r="O449">
        <f>COUNTIFS(Grunnspill!$A:$A,Annex!F449)</f>
        <v>0</v>
      </c>
      <c r="P449">
        <f>COUNTIFS(Grunnspill!$A:$A,Annex!G449)</f>
        <v>0</v>
      </c>
      <c r="Q449">
        <f>COUNTIFS(Grunnspill!$A:$A,Annex!H449)</f>
        <v>0</v>
      </c>
      <c r="R449">
        <f>COUNTIFS(Grunnspill!$A:$A,Annex!I449)</f>
        <v>0</v>
      </c>
    </row>
    <row r="450" spans="1:18" x14ac:dyDescent="0.2">
      <c r="A450">
        <v>447</v>
      </c>
      <c r="B450" s="1" t="s">
        <v>106</v>
      </c>
      <c r="C450" s="1" t="s">
        <v>103</v>
      </c>
      <c r="D450" s="1" t="s">
        <v>112</v>
      </c>
      <c r="E450" s="1" t="s">
        <v>111</v>
      </c>
      <c r="F450" s="1" t="s">
        <v>113</v>
      </c>
      <c r="G450" s="1" t="s">
        <v>105</v>
      </c>
      <c r="H450" s="1" t="s">
        <v>110</v>
      </c>
      <c r="I450" s="1" t="s">
        <v>109</v>
      </c>
      <c r="J450">
        <f t="shared" si="9"/>
        <v>0</v>
      </c>
      <c r="K450">
        <f>COUNTIFS(Grunnspill!$A:$A,Annex!B450)</f>
        <v>0</v>
      </c>
      <c r="L450">
        <f>COUNTIFS(Grunnspill!$A:$A,Annex!C450)</f>
        <v>0</v>
      </c>
      <c r="M450">
        <f>COUNTIFS(Grunnspill!$A:$A,Annex!D450)</f>
        <v>0</v>
      </c>
      <c r="N450">
        <f>COUNTIFS(Grunnspill!$A:$A,Annex!E450)</f>
        <v>0</v>
      </c>
      <c r="O450">
        <f>COUNTIFS(Grunnspill!$A:$A,Annex!F450)</f>
        <v>0</v>
      </c>
      <c r="P450">
        <f>COUNTIFS(Grunnspill!$A:$A,Annex!G450)</f>
        <v>0</v>
      </c>
      <c r="Q450">
        <f>COUNTIFS(Grunnspill!$A:$A,Annex!H450)</f>
        <v>0</v>
      </c>
      <c r="R450">
        <f>COUNTIFS(Grunnspill!$A:$A,Annex!I450)</f>
        <v>0</v>
      </c>
    </row>
    <row r="451" spans="1:18" x14ac:dyDescent="0.2">
      <c r="A451">
        <v>448</v>
      </c>
      <c r="B451" s="1" t="s">
        <v>106</v>
      </c>
      <c r="C451" s="1" t="s">
        <v>105</v>
      </c>
      <c r="D451" s="1" t="s">
        <v>112</v>
      </c>
      <c r="E451" s="1" t="s">
        <v>111</v>
      </c>
      <c r="F451" s="1" t="s">
        <v>113</v>
      </c>
      <c r="G451" s="1" t="s">
        <v>110</v>
      </c>
      <c r="H451" s="1" t="s">
        <v>108</v>
      </c>
      <c r="I451" s="1" t="s">
        <v>104</v>
      </c>
      <c r="J451">
        <f t="shared" si="9"/>
        <v>0</v>
      </c>
      <c r="K451">
        <f>COUNTIFS(Grunnspill!$A:$A,Annex!B451)</f>
        <v>0</v>
      </c>
      <c r="L451">
        <f>COUNTIFS(Grunnspill!$A:$A,Annex!C451)</f>
        <v>0</v>
      </c>
      <c r="M451">
        <f>COUNTIFS(Grunnspill!$A:$A,Annex!D451)</f>
        <v>0</v>
      </c>
      <c r="N451">
        <f>COUNTIFS(Grunnspill!$A:$A,Annex!E451)</f>
        <v>0</v>
      </c>
      <c r="O451">
        <f>COUNTIFS(Grunnspill!$A:$A,Annex!F451)</f>
        <v>0</v>
      </c>
      <c r="P451">
        <f>COUNTIFS(Grunnspill!$A:$A,Annex!G451)</f>
        <v>0</v>
      </c>
      <c r="Q451">
        <f>COUNTIFS(Grunnspill!$A:$A,Annex!H451)</f>
        <v>0</v>
      </c>
      <c r="R451">
        <f>COUNTIFS(Grunnspill!$A:$A,Annex!I451)</f>
        <v>0</v>
      </c>
    </row>
    <row r="452" spans="1:18" x14ac:dyDescent="0.2">
      <c r="A452">
        <v>449</v>
      </c>
      <c r="B452" s="1" t="s">
        <v>106</v>
      </c>
      <c r="C452" s="1" t="s">
        <v>105</v>
      </c>
      <c r="D452" s="1" t="s">
        <v>112</v>
      </c>
      <c r="E452" s="1" t="s">
        <v>111</v>
      </c>
      <c r="F452" s="1" t="s">
        <v>113</v>
      </c>
      <c r="G452" s="1" t="s">
        <v>110</v>
      </c>
      <c r="H452" s="1" t="s">
        <v>104</v>
      </c>
      <c r="I452" s="1" t="s">
        <v>109</v>
      </c>
      <c r="J452">
        <f t="shared" si="9"/>
        <v>0</v>
      </c>
      <c r="K452">
        <f>COUNTIFS(Grunnspill!$A:$A,Annex!B452)</f>
        <v>0</v>
      </c>
      <c r="L452">
        <f>COUNTIFS(Grunnspill!$A:$A,Annex!C452)</f>
        <v>0</v>
      </c>
      <c r="M452">
        <f>COUNTIFS(Grunnspill!$A:$A,Annex!D452)</f>
        <v>0</v>
      </c>
      <c r="N452">
        <f>COUNTIFS(Grunnspill!$A:$A,Annex!E452)</f>
        <v>0</v>
      </c>
      <c r="O452">
        <f>COUNTIFS(Grunnspill!$A:$A,Annex!F452)</f>
        <v>0</v>
      </c>
      <c r="P452">
        <f>COUNTIFS(Grunnspill!$A:$A,Annex!G452)</f>
        <v>0</v>
      </c>
      <c r="Q452">
        <f>COUNTIFS(Grunnspill!$A:$A,Annex!H452)</f>
        <v>0</v>
      </c>
      <c r="R452">
        <f>COUNTIFS(Grunnspill!$A:$A,Annex!I452)</f>
        <v>0</v>
      </c>
    </row>
    <row r="453" spans="1:18" x14ac:dyDescent="0.2">
      <c r="A453">
        <v>450</v>
      </c>
      <c r="B453" s="1" t="s">
        <v>106</v>
      </c>
      <c r="C453" s="1" t="s">
        <v>103</v>
      </c>
      <c r="D453" s="1" t="s">
        <v>112</v>
      </c>
      <c r="E453" s="1" t="s">
        <v>111</v>
      </c>
      <c r="F453" s="1" t="s">
        <v>113</v>
      </c>
      <c r="G453" s="1" t="s">
        <v>105</v>
      </c>
      <c r="H453" s="1" t="s">
        <v>110</v>
      </c>
      <c r="I453" s="1" t="s">
        <v>104</v>
      </c>
      <c r="J453">
        <f t="shared" si="9"/>
        <v>0</v>
      </c>
      <c r="K453">
        <f>COUNTIFS(Grunnspill!$A:$A,Annex!B453)</f>
        <v>0</v>
      </c>
      <c r="L453">
        <f>COUNTIFS(Grunnspill!$A:$A,Annex!C453)</f>
        <v>0</v>
      </c>
      <c r="M453">
        <f>COUNTIFS(Grunnspill!$A:$A,Annex!D453)</f>
        <v>0</v>
      </c>
      <c r="N453">
        <f>COUNTIFS(Grunnspill!$A:$A,Annex!E453)</f>
        <v>0</v>
      </c>
      <c r="O453">
        <f>COUNTIFS(Grunnspill!$A:$A,Annex!F453)</f>
        <v>0</v>
      </c>
      <c r="P453">
        <f>COUNTIFS(Grunnspill!$A:$A,Annex!G453)</f>
        <v>0</v>
      </c>
      <c r="Q453">
        <f>COUNTIFS(Grunnspill!$A:$A,Annex!H453)</f>
        <v>0</v>
      </c>
      <c r="R453">
        <f>COUNTIFS(Grunnspill!$A:$A,Annex!I453)</f>
        <v>0</v>
      </c>
    </row>
    <row r="454" spans="1:18" x14ac:dyDescent="0.2">
      <c r="A454">
        <v>451</v>
      </c>
      <c r="B454" s="1" t="s">
        <v>111</v>
      </c>
      <c r="C454" s="1" t="s">
        <v>107</v>
      </c>
      <c r="D454" s="1" t="s">
        <v>112</v>
      </c>
      <c r="E454" s="1" t="s">
        <v>110</v>
      </c>
      <c r="F454" s="1" t="s">
        <v>113</v>
      </c>
      <c r="G454" s="1" t="s">
        <v>105</v>
      </c>
      <c r="H454" s="1" t="s">
        <v>108</v>
      </c>
      <c r="I454" s="1" t="s">
        <v>109</v>
      </c>
      <c r="J454">
        <f t="shared" si="9"/>
        <v>0</v>
      </c>
      <c r="K454">
        <f>COUNTIFS(Grunnspill!$A:$A,Annex!B454)</f>
        <v>0</v>
      </c>
      <c r="L454">
        <f>COUNTIFS(Grunnspill!$A:$A,Annex!C454)</f>
        <v>0</v>
      </c>
      <c r="M454">
        <f>COUNTIFS(Grunnspill!$A:$A,Annex!D454)</f>
        <v>0</v>
      </c>
      <c r="N454">
        <f>COUNTIFS(Grunnspill!$A:$A,Annex!E454)</f>
        <v>0</v>
      </c>
      <c r="O454">
        <f>COUNTIFS(Grunnspill!$A:$A,Annex!F454)</f>
        <v>0</v>
      </c>
      <c r="P454">
        <f>COUNTIFS(Grunnspill!$A:$A,Annex!G454)</f>
        <v>0</v>
      </c>
      <c r="Q454">
        <f>COUNTIFS(Grunnspill!$A:$A,Annex!H454)</f>
        <v>0</v>
      </c>
      <c r="R454">
        <f>COUNTIFS(Grunnspill!$A:$A,Annex!I454)</f>
        <v>0</v>
      </c>
    </row>
    <row r="455" spans="1:18" x14ac:dyDescent="0.2">
      <c r="A455">
        <v>452</v>
      </c>
      <c r="B455" s="1" t="s">
        <v>111</v>
      </c>
      <c r="C455" s="1" t="s">
        <v>107</v>
      </c>
      <c r="D455" s="1" t="s">
        <v>112</v>
      </c>
      <c r="E455" s="1" t="s">
        <v>110</v>
      </c>
      <c r="F455" s="1" t="s">
        <v>113</v>
      </c>
      <c r="G455" s="1" t="s">
        <v>105</v>
      </c>
      <c r="H455" s="1" t="s">
        <v>108</v>
      </c>
      <c r="I455" s="1" t="s">
        <v>103</v>
      </c>
      <c r="J455">
        <f t="shared" si="9"/>
        <v>0</v>
      </c>
      <c r="K455">
        <f>COUNTIFS(Grunnspill!$A:$A,Annex!B455)</f>
        <v>0</v>
      </c>
      <c r="L455">
        <f>COUNTIFS(Grunnspill!$A:$A,Annex!C455)</f>
        <v>0</v>
      </c>
      <c r="M455">
        <f>COUNTIFS(Grunnspill!$A:$A,Annex!D455)</f>
        <v>0</v>
      </c>
      <c r="N455">
        <f>COUNTIFS(Grunnspill!$A:$A,Annex!E455)</f>
        <v>0</v>
      </c>
      <c r="O455">
        <f>COUNTIFS(Grunnspill!$A:$A,Annex!F455)</f>
        <v>0</v>
      </c>
      <c r="P455">
        <f>COUNTIFS(Grunnspill!$A:$A,Annex!G455)</f>
        <v>0</v>
      </c>
      <c r="Q455">
        <f>COUNTIFS(Grunnspill!$A:$A,Annex!H455)</f>
        <v>0</v>
      </c>
      <c r="R455">
        <f>COUNTIFS(Grunnspill!$A:$A,Annex!I455)</f>
        <v>0</v>
      </c>
    </row>
    <row r="456" spans="1:18" x14ac:dyDescent="0.2">
      <c r="A456">
        <v>453</v>
      </c>
      <c r="B456" s="1" t="s">
        <v>111</v>
      </c>
      <c r="C456" s="1" t="s">
        <v>107</v>
      </c>
      <c r="D456" s="1" t="s">
        <v>112</v>
      </c>
      <c r="E456" s="1" t="s">
        <v>110</v>
      </c>
      <c r="F456" s="1" t="s">
        <v>113</v>
      </c>
      <c r="G456" s="1" t="s">
        <v>105</v>
      </c>
      <c r="H456" s="1" t="s">
        <v>103</v>
      </c>
      <c r="I456" s="1" t="s">
        <v>109</v>
      </c>
      <c r="J456">
        <f t="shared" si="9"/>
        <v>0</v>
      </c>
      <c r="K456">
        <f>COUNTIFS(Grunnspill!$A:$A,Annex!B456)</f>
        <v>0</v>
      </c>
      <c r="L456">
        <f>COUNTIFS(Grunnspill!$A:$A,Annex!C456)</f>
        <v>0</v>
      </c>
      <c r="M456">
        <f>COUNTIFS(Grunnspill!$A:$A,Annex!D456)</f>
        <v>0</v>
      </c>
      <c r="N456">
        <f>COUNTIFS(Grunnspill!$A:$A,Annex!E456)</f>
        <v>0</v>
      </c>
      <c r="O456">
        <f>COUNTIFS(Grunnspill!$A:$A,Annex!F456)</f>
        <v>0</v>
      </c>
      <c r="P456">
        <f>COUNTIFS(Grunnspill!$A:$A,Annex!G456)</f>
        <v>0</v>
      </c>
      <c r="Q456">
        <f>COUNTIFS(Grunnspill!$A:$A,Annex!H456)</f>
        <v>0</v>
      </c>
      <c r="R456">
        <f>COUNTIFS(Grunnspill!$A:$A,Annex!I456)</f>
        <v>0</v>
      </c>
    </row>
    <row r="457" spans="1:18" x14ac:dyDescent="0.2">
      <c r="A457">
        <v>454</v>
      </c>
      <c r="B457" s="1" t="s">
        <v>111</v>
      </c>
      <c r="C457" s="1" t="s">
        <v>107</v>
      </c>
      <c r="D457" s="1" t="s">
        <v>112</v>
      </c>
      <c r="E457" s="1" t="s">
        <v>110</v>
      </c>
      <c r="F457" s="1" t="s">
        <v>113</v>
      </c>
      <c r="G457" s="1" t="s">
        <v>105</v>
      </c>
      <c r="H457" s="1" t="s">
        <v>108</v>
      </c>
      <c r="I457" s="1" t="s">
        <v>104</v>
      </c>
      <c r="J457">
        <f t="shared" si="9"/>
        <v>0</v>
      </c>
      <c r="K457">
        <f>COUNTIFS(Grunnspill!$A:$A,Annex!B457)</f>
        <v>0</v>
      </c>
      <c r="L457">
        <f>COUNTIFS(Grunnspill!$A:$A,Annex!C457)</f>
        <v>0</v>
      </c>
      <c r="M457">
        <f>COUNTIFS(Grunnspill!$A:$A,Annex!D457)</f>
        <v>0</v>
      </c>
      <c r="N457">
        <f>COUNTIFS(Grunnspill!$A:$A,Annex!E457)</f>
        <v>0</v>
      </c>
      <c r="O457">
        <f>COUNTIFS(Grunnspill!$A:$A,Annex!F457)</f>
        <v>0</v>
      </c>
      <c r="P457">
        <f>COUNTIFS(Grunnspill!$A:$A,Annex!G457)</f>
        <v>0</v>
      </c>
      <c r="Q457">
        <f>COUNTIFS(Grunnspill!$A:$A,Annex!H457)</f>
        <v>0</v>
      </c>
      <c r="R457">
        <f>COUNTIFS(Grunnspill!$A:$A,Annex!I457)</f>
        <v>0</v>
      </c>
    </row>
    <row r="458" spans="1:18" x14ac:dyDescent="0.2">
      <c r="A458">
        <v>455</v>
      </c>
      <c r="B458" s="1" t="s">
        <v>111</v>
      </c>
      <c r="C458" s="1" t="s">
        <v>107</v>
      </c>
      <c r="D458" s="1" t="s">
        <v>112</v>
      </c>
      <c r="E458" s="1" t="s">
        <v>110</v>
      </c>
      <c r="F458" s="1" t="s">
        <v>113</v>
      </c>
      <c r="G458" s="1" t="s">
        <v>105</v>
      </c>
      <c r="H458" s="1" t="s">
        <v>104</v>
      </c>
      <c r="I458" s="1" t="s">
        <v>109</v>
      </c>
      <c r="J458">
        <f t="shared" si="9"/>
        <v>0</v>
      </c>
      <c r="K458">
        <f>COUNTIFS(Grunnspill!$A:$A,Annex!B458)</f>
        <v>0</v>
      </c>
      <c r="L458">
        <f>COUNTIFS(Grunnspill!$A:$A,Annex!C458)</f>
        <v>0</v>
      </c>
      <c r="M458">
        <f>COUNTIFS(Grunnspill!$A:$A,Annex!D458)</f>
        <v>0</v>
      </c>
      <c r="N458">
        <f>COUNTIFS(Grunnspill!$A:$A,Annex!E458)</f>
        <v>0</v>
      </c>
      <c r="O458">
        <f>COUNTIFS(Grunnspill!$A:$A,Annex!F458)</f>
        <v>0</v>
      </c>
      <c r="P458">
        <f>COUNTIFS(Grunnspill!$A:$A,Annex!G458)</f>
        <v>0</v>
      </c>
      <c r="Q458">
        <f>COUNTIFS(Grunnspill!$A:$A,Annex!H458)</f>
        <v>0</v>
      </c>
      <c r="R458">
        <f>COUNTIFS(Grunnspill!$A:$A,Annex!I458)</f>
        <v>0</v>
      </c>
    </row>
    <row r="459" spans="1:18" x14ac:dyDescent="0.2">
      <c r="A459">
        <v>456</v>
      </c>
      <c r="B459" s="1" t="s">
        <v>111</v>
      </c>
      <c r="C459" s="1" t="s">
        <v>107</v>
      </c>
      <c r="D459" s="1" t="s">
        <v>112</v>
      </c>
      <c r="E459" s="1" t="s">
        <v>110</v>
      </c>
      <c r="F459" s="1" t="s">
        <v>113</v>
      </c>
      <c r="G459" s="1" t="s">
        <v>105</v>
      </c>
      <c r="H459" s="1" t="s">
        <v>104</v>
      </c>
      <c r="I459" s="1" t="s">
        <v>103</v>
      </c>
      <c r="J459">
        <f t="shared" si="9"/>
        <v>0</v>
      </c>
      <c r="K459">
        <f>COUNTIFS(Grunnspill!$A:$A,Annex!B459)</f>
        <v>0</v>
      </c>
      <c r="L459">
        <f>COUNTIFS(Grunnspill!$A:$A,Annex!C459)</f>
        <v>0</v>
      </c>
      <c r="M459">
        <f>COUNTIFS(Grunnspill!$A:$A,Annex!D459)</f>
        <v>0</v>
      </c>
      <c r="N459">
        <f>COUNTIFS(Grunnspill!$A:$A,Annex!E459)</f>
        <v>0</v>
      </c>
      <c r="O459">
        <f>COUNTIFS(Grunnspill!$A:$A,Annex!F459)</f>
        <v>0</v>
      </c>
      <c r="P459">
        <f>COUNTIFS(Grunnspill!$A:$A,Annex!G459)</f>
        <v>0</v>
      </c>
      <c r="Q459">
        <f>COUNTIFS(Grunnspill!$A:$A,Annex!H459)</f>
        <v>0</v>
      </c>
      <c r="R459">
        <f>COUNTIFS(Grunnspill!$A:$A,Annex!I459)</f>
        <v>0</v>
      </c>
    </row>
    <row r="460" spans="1:18" x14ac:dyDescent="0.2">
      <c r="A460">
        <v>457</v>
      </c>
      <c r="B460" s="1" t="s">
        <v>111</v>
      </c>
      <c r="C460" s="1" t="s">
        <v>107</v>
      </c>
      <c r="D460" s="1" t="s">
        <v>112</v>
      </c>
      <c r="E460" s="1" t="s">
        <v>110</v>
      </c>
      <c r="F460" s="1" t="s">
        <v>113</v>
      </c>
      <c r="G460" s="1" t="s">
        <v>105</v>
      </c>
      <c r="H460" s="1" t="s">
        <v>108</v>
      </c>
      <c r="I460" s="1" t="s">
        <v>106</v>
      </c>
      <c r="J460">
        <f t="shared" si="9"/>
        <v>0</v>
      </c>
      <c r="K460">
        <f>COUNTIFS(Grunnspill!$A:$A,Annex!B460)</f>
        <v>0</v>
      </c>
      <c r="L460">
        <f>COUNTIFS(Grunnspill!$A:$A,Annex!C460)</f>
        <v>0</v>
      </c>
      <c r="M460">
        <f>COUNTIFS(Grunnspill!$A:$A,Annex!D460)</f>
        <v>0</v>
      </c>
      <c r="N460">
        <f>COUNTIFS(Grunnspill!$A:$A,Annex!E460)</f>
        <v>0</v>
      </c>
      <c r="O460">
        <f>COUNTIFS(Grunnspill!$A:$A,Annex!F460)</f>
        <v>0</v>
      </c>
      <c r="P460">
        <f>COUNTIFS(Grunnspill!$A:$A,Annex!G460)</f>
        <v>0</v>
      </c>
      <c r="Q460">
        <f>COUNTIFS(Grunnspill!$A:$A,Annex!H460)</f>
        <v>0</v>
      </c>
      <c r="R460">
        <f>COUNTIFS(Grunnspill!$A:$A,Annex!I460)</f>
        <v>0</v>
      </c>
    </row>
    <row r="461" spans="1:18" x14ac:dyDescent="0.2">
      <c r="A461">
        <v>458</v>
      </c>
      <c r="B461" s="1" t="s">
        <v>106</v>
      </c>
      <c r="C461" s="1" t="s">
        <v>107</v>
      </c>
      <c r="D461" s="1" t="s">
        <v>112</v>
      </c>
      <c r="E461" s="1" t="s">
        <v>111</v>
      </c>
      <c r="F461" s="1" t="s">
        <v>113</v>
      </c>
      <c r="G461" s="1" t="s">
        <v>105</v>
      </c>
      <c r="H461" s="1" t="s">
        <v>110</v>
      </c>
      <c r="I461" s="1" t="s">
        <v>109</v>
      </c>
      <c r="J461">
        <f t="shared" si="9"/>
        <v>0</v>
      </c>
      <c r="K461">
        <f>COUNTIFS(Grunnspill!$A:$A,Annex!B461)</f>
        <v>0</v>
      </c>
      <c r="L461">
        <f>COUNTIFS(Grunnspill!$A:$A,Annex!C461)</f>
        <v>0</v>
      </c>
      <c r="M461">
        <f>COUNTIFS(Grunnspill!$A:$A,Annex!D461)</f>
        <v>0</v>
      </c>
      <c r="N461">
        <f>COUNTIFS(Grunnspill!$A:$A,Annex!E461)</f>
        <v>0</v>
      </c>
      <c r="O461">
        <f>COUNTIFS(Grunnspill!$A:$A,Annex!F461)</f>
        <v>0</v>
      </c>
      <c r="P461">
        <f>COUNTIFS(Grunnspill!$A:$A,Annex!G461)</f>
        <v>0</v>
      </c>
      <c r="Q461">
        <f>COUNTIFS(Grunnspill!$A:$A,Annex!H461)</f>
        <v>0</v>
      </c>
      <c r="R461">
        <f>COUNTIFS(Grunnspill!$A:$A,Annex!I461)</f>
        <v>0</v>
      </c>
    </row>
    <row r="462" spans="1:18" x14ac:dyDescent="0.2">
      <c r="A462">
        <v>459</v>
      </c>
      <c r="B462" s="1" t="s">
        <v>106</v>
      </c>
      <c r="C462" s="1" t="s">
        <v>107</v>
      </c>
      <c r="D462" s="1" t="s">
        <v>112</v>
      </c>
      <c r="E462" s="1" t="s">
        <v>111</v>
      </c>
      <c r="F462" s="1" t="s">
        <v>113</v>
      </c>
      <c r="G462" s="1" t="s">
        <v>105</v>
      </c>
      <c r="H462" s="1" t="s">
        <v>110</v>
      </c>
      <c r="I462" s="1" t="s">
        <v>103</v>
      </c>
      <c r="J462">
        <f t="shared" si="9"/>
        <v>0</v>
      </c>
      <c r="K462">
        <f>COUNTIFS(Grunnspill!$A:$A,Annex!B462)</f>
        <v>0</v>
      </c>
      <c r="L462">
        <f>COUNTIFS(Grunnspill!$A:$A,Annex!C462)</f>
        <v>0</v>
      </c>
      <c r="M462">
        <f>COUNTIFS(Grunnspill!$A:$A,Annex!D462)</f>
        <v>0</v>
      </c>
      <c r="N462">
        <f>COUNTIFS(Grunnspill!$A:$A,Annex!E462)</f>
        <v>0</v>
      </c>
      <c r="O462">
        <f>COUNTIFS(Grunnspill!$A:$A,Annex!F462)</f>
        <v>0</v>
      </c>
      <c r="P462">
        <f>COUNTIFS(Grunnspill!$A:$A,Annex!G462)</f>
        <v>0</v>
      </c>
      <c r="Q462">
        <f>COUNTIFS(Grunnspill!$A:$A,Annex!H462)</f>
        <v>0</v>
      </c>
      <c r="R462">
        <f>COUNTIFS(Grunnspill!$A:$A,Annex!I462)</f>
        <v>0</v>
      </c>
    </row>
    <row r="463" spans="1:18" x14ac:dyDescent="0.2">
      <c r="A463">
        <v>460</v>
      </c>
      <c r="B463" s="1" t="s">
        <v>106</v>
      </c>
      <c r="C463" s="1" t="s">
        <v>107</v>
      </c>
      <c r="D463" s="1" t="s">
        <v>112</v>
      </c>
      <c r="E463" s="1" t="s">
        <v>111</v>
      </c>
      <c r="F463" s="1" t="s">
        <v>113</v>
      </c>
      <c r="G463" s="1" t="s">
        <v>105</v>
      </c>
      <c r="H463" s="1" t="s">
        <v>110</v>
      </c>
      <c r="I463" s="1" t="s">
        <v>104</v>
      </c>
      <c r="J463">
        <f t="shared" si="9"/>
        <v>0</v>
      </c>
      <c r="K463">
        <f>COUNTIFS(Grunnspill!$A:$A,Annex!B463)</f>
        <v>0</v>
      </c>
      <c r="L463">
        <f>COUNTIFS(Grunnspill!$A:$A,Annex!C463)</f>
        <v>0</v>
      </c>
      <c r="M463">
        <f>COUNTIFS(Grunnspill!$A:$A,Annex!D463)</f>
        <v>0</v>
      </c>
      <c r="N463">
        <f>COUNTIFS(Grunnspill!$A:$A,Annex!E463)</f>
        <v>0</v>
      </c>
      <c r="O463">
        <f>COUNTIFS(Grunnspill!$A:$A,Annex!F463)</f>
        <v>0</v>
      </c>
      <c r="P463">
        <f>COUNTIFS(Grunnspill!$A:$A,Annex!G463)</f>
        <v>0</v>
      </c>
      <c r="Q463">
        <f>COUNTIFS(Grunnspill!$A:$A,Annex!H463)</f>
        <v>0</v>
      </c>
      <c r="R463">
        <f>COUNTIFS(Grunnspill!$A:$A,Annex!I463)</f>
        <v>0</v>
      </c>
    </row>
    <row r="464" spans="1:18" x14ac:dyDescent="0.2">
      <c r="A464">
        <v>461</v>
      </c>
      <c r="B464" s="1" t="s">
        <v>102</v>
      </c>
      <c r="C464" s="1" t="s">
        <v>103</v>
      </c>
      <c r="D464" s="1" t="s">
        <v>112</v>
      </c>
      <c r="E464" s="1" t="s">
        <v>111</v>
      </c>
      <c r="F464" s="1" t="s">
        <v>113</v>
      </c>
      <c r="G464" s="1" t="s">
        <v>110</v>
      </c>
      <c r="H464" s="1" t="s">
        <v>108</v>
      </c>
      <c r="I464" s="1" t="s">
        <v>109</v>
      </c>
      <c r="J464">
        <f t="shared" si="9"/>
        <v>0</v>
      </c>
      <c r="K464">
        <f>COUNTIFS(Grunnspill!$A:$A,Annex!B464)</f>
        <v>0</v>
      </c>
      <c r="L464">
        <f>COUNTIFS(Grunnspill!$A:$A,Annex!C464)</f>
        <v>0</v>
      </c>
      <c r="M464">
        <f>COUNTIFS(Grunnspill!$A:$A,Annex!D464)</f>
        <v>0</v>
      </c>
      <c r="N464">
        <f>COUNTIFS(Grunnspill!$A:$A,Annex!E464)</f>
        <v>0</v>
      </c>
      <c r="O464">
        <f>COUNTIFS(Grunnspill!$A:$A,Annex!F464)</f>
        <v>0</v>
      </c>
      <c r="P464">
        <f>COUNTIFS(Grunnspill!$A:$A,Annex!G464)</f>
        <v>0</v>
      </c>
      <c r="Q464">
        <f>COUNTIFS(Grunnspill!$A:$A,Annex!H464)</f>
        <v>0</v>
      </c>
      <c r="R464">
        <f>COUNTIFS(Grunnspill!$A:$A,Annex!I464)</f>
        <v>0</v>
      </c>
    </row>
    <row r="465" spans="1:18" x14ac:dyDescent="0.2">
      <c r="A465">
        <v>462</v>
      </c>
      <c r="B465" s="1" t="s">
        <v>102</v>
      </c>
      <c r="C465" s="1" t="s">
        <v>104</v>
      </c>
      <c r="D465" s="1" t="s">
        <v>112</v>
      </c>
      <c r="E465" s="1" t="s">
        <v>111</v>
      </c>
      <c r="F465" s="1" t="s">
        <v>113</v>
      </c>
      <c r="G465" s="1" t="s">
        <v>110</v>
      </c>
      <c r="H465" s="1" t="s">
        <v>108</v>
      </c>
      <c r="I465" s="1" t="s">
        <v>109</v>
      </c>
      <c r="J465">
        <f t="shared" si="9"/>
        <v>0</v>
      </c>
      <c r="K465">
        <f>COUNTIFS(Grunnspill!$A:$A,Annex!B465)</f>
        <v>0</v>
      </c>
      <c r="L465">
        <f>COUNTIFS(Grunnspill!$A:$A,Annex!C465)</f>
        <v>0</v>
      </c>
      <c r="M465">
        <f>COUNTIFS(Grunnspill!$A:$A,Annex!D465)</f>
        <v>0</v>
      </c>
      <c r="N465">
        <f>COUNTIFS(Grunnspill!$A:$A,Annex!E465)</f>
        <v>0</v>
      </c>
      <c r="O465">
        <f>COUNTIFS(Grunnspill!$A:$A,Annex!F465)</f>
        <v>0</v>
      </c>
      <c r="P465">
        <f>COUNTIFS(Grunnspill!$A:$A,Annex!G465)</f>
        <v>0</v>
      </c>
      <c r="Q465">
        <f>COUNTIFS(Grunnspill!$A:$A,Annex!H465)</f>
        <v>0</v>
      </c>
      <c r="R465">
        <f>COUNTIFS(Grunnspill!$A:$A,Annex!I465)</f>
        <v>0</v>
      </c>
    </row>
    <row r="466" spans="1:18" x14ac:dyDescent="0.2">
      <c r="A466">
        <v>463</v>
      </c>
      <c r="B466" s="1" t="s">
        <v>102</v>
      </c>
      <c r="C466" s="1" t="s">
        <v>103</v>
      </c>
      <c r="D466" s="1" t="s">
        <v>112</v>
      </c>
      <c r="E466" s="1" t="s">
        <v>111</v>
      </c>
      <c r="F466" s="1" t="s">
        <v>113</v>
      </c>
      <c r="G466" s="1" t="s">
        <v>110</v>
      </c>
      <c r="H466" s="1" t="s">
        <v>108</v>
      </c>
      <c r="I466" s="1" t="s">
        <v>104</v>
      </c>
      <c r="J466">
        <f t="shared" si="9"/>
        <v>0</v>
      </c>
      <c r="K466">
        <f>COUNTIFS(Grunnspill!$A:$A,Annex!B466)</f>
        <v>0</v>
      </c>
      <c r="L466">
        <f>COUNTIFS(Grunnspill!$A:$A,Annex!C466)</f>
        <v>0</v>
      </c>
      <c r="M466">
        <f>COUNTIFS(Grunnspill!$A:$A,Annex!D466)</f>
        <v>0</v>
      </c>
      <c r="N466">
        <f>COUNTIFS(Grunnspill!$A:$A,Annex!E466)</f>
        <v>0</v>
      </c>
      <c r="O466">
        <f>COUNTIFS(Grunnspill!$A:$A,Annex!F466)</f>
        <v>0</v>
      </c>
      <c r="P466">
        <f>COUNTIFS(Grunnspill!$A:$A,Annex!G466)</f>
        <v>0</v>
      </c>
      <c r="Q466">
        <f>COUNTIFS(Grunnspill!$A:$A,Annex!H466)</f>
        <v>0</v>
      </c>
      <c r="R466">
        <f>COUNTIFS(Grunnspill!$A:$A,Annex!I466)</f>
        <v>0</v>
      </c>
    </row>
    <row r="467" spans="1:18" x14ac:dyDescent="0.2">
      <c r="A467">
        <v>464</v>
      </c>
      <c r="B467" s="1" t="s">
        <v>102</v>
      </c>
      <c r="C467" s="1" t="s">
        <v>103</v>
      </c>
      <c r="D467" s="1" t="s">
        <v>112</v>
      </c>
      <c r="E467" s="1" t="s">
        <v>111</v>
      </c>
      <c r="F467" s="1" t="s">
        <v>113</v>
      </c>
      <c r="G467" s="1" t="s">
        <v>110</v>
      </c>
      <c r="H467" s="1" t="s">
        <v>104</v>
      </c>
      <c r="I467" s="1" t="s">
        <v>109</v>
      </c>
      <c r="J467">
        <f t="shared" si="9"/>
        <v>0</v>
      </c>
      <c r="K467">
        <f>COUNTIFS(Grunnspill!$A:$A,Annex!B467)</f>
        <v>0</v>
      </c>
      <c r="L467">
        <f>COUNTIFS(Grunnspill!$A:$A,Annex!C467)</f>
        <v>0</v>
      </c>
      <c r="M467">
        <f>COUNTIFS(Grunnspill!$A:$A,Annex!D467)</f>
        <v>0</v>
      </c>
      <c r="N467">
        <f>COUNTIFS(Grunnspill!$A:$A,Annex!E467)</f>
        <v>0</v>
      </c>
      <c r="O467">
        <f>COUNTIFS(Grunnspill!$A:$A,Annex!F467)</f>
        <v>0</v>
      </c>
      <c r="P467">
        <f>COUNTIFS(Grunnspill!$A:$A,Annex!G467)</f>
        <v>0</v>
      </c>
      <c r="Q467">
        <f>COUNTIFS(Grunnspill!$A:$A,Annex!H467)</f>
        <v>0</v>
      </c>
      <c r="R467">
        <f>COUNTIFS(Grunnspill!$A:$A,Annex!I467)</f>
        <v>0</v>
      </c>
    </row>
    <row r="468" spans="1:18" x14ac:dyDescent="0.2">
      <c r="A468">
        <v>465</v>
      </c>
      <c r="B468" s="1" t="s">
        <v>106</v>
      </c>
      <c r="C468" s="1" t="s">
        <v>102</v>
      </c>
      <c r="D468" s="1" t="s">
        <v>112</v>
      </c>
      <c r="E468" s="1" t="s">
        <v>111</v>
      </c>
      <c r="F468" s="1" t="s">
        <v>113</v>
      </c>
      <c r="G468" s="1" t="s">
        <v>110</v>
      </c>
      <c r="H468" s="1" t="s">
        <v>108</v>
      </c>
      <c r="I468" s="1" t="s">
        <v>109</v>
      </c>
      <c r="J468">
        <f t="shared" si="9"/>
        <v>0</v>
      </c>
      <c r="K468">
        <f>COUNTIFS(Grunnspill!$A:$A,Annex!B468)</f>
        <v>0</v>
      </c>
      <c r="L468">
        <f>COUNTIFS(Grunnspill!$A:$A,Annex!C468)</f>
        <v>0</v>
      </c>
      <c r="M468">
        <f>COUNTIFS(Grunnspill!$A:$A,Annex!D468)</f>
        <v>0</v>
      </c>
      <c r="N468">
        <f>COUNTIFS(Grunnspill!$A:$A,Annex!E468)</f>
        <v>0</v>
      </c>
      <c r="O468">
        <f>COUNTIFS(Grunnspill!$A:$A,Annex!F468)</f>
        <v>0</v>
      </c>
      <c r="P468">
        <f>COUNTIFS(Grunnspill!$A:$A,Annex!G468)</f>
        <v>0</v>
      </c>
      <c r="Q468">
        <f>COUNTIFS(Grunnspill!$A:$A,Annex!H468)</f>
        <v>0</v>
      </c>
      <c r="R468">
        <f>COUNTIFS(Grunnspill!$A:$A,Annex!I468)</f>
        <v>0</v>
      </c>
    </row>
    <row r="469" spans="1:18" x14ac:dyDescent="0.2">
      <c r="A469">
        <v>466</v>
      </c>
      <c r="B469" s="1" t="s">
        <v>106</v>
      </c>
      <c r="C469" s="1" t="s">
        <v>103</v>
      </c>
      <c r="D469" s="1" t="s">
        <v>112</v>
      </c>
      <c r="E469" s="1" t="s">
        <v>111</v>
      </c>
      <c r="F469" s="1" t="s">
        <v>113</v>
      </c>
      <c r="G469" s="1" t="s">
        <v>110</v>
      </c>
      <c r="H469" s="1" t="s">
        <v>108</v>
      </c>
      <c r="I469" s="1" t="s">
        <v>102</v>
      </c>
      <c r="J469">
        <f t="shared" si="9"/>
        <v>0</v>
      </c>
      <c r="K469">
        <f>COUNTIFS(Grunnspill!$A:$A,Annex!B469)</f>
        <v>0</v>
      </c>
      <c r="L469">
        <f>COUNTIFS(Grunnspill!$A:$A,Annex!C469)</f>
        <v>0</v>
      </c>
      <c r="M469">
        <f>COUNTIFS(Grunnspill!$A:$A,Annex!D469)</f>
        <v>0</v>
      </c>
      <c r="N469">
        <f>COUNTIFS(Grunnspill!$A:$A,Annex!E469)</f>
        <v>0</v>
      </c>
      <c r="O469">
        <f>COUNTIFS(Grunnspill!$A:$A,Annex!F469)</f>
        <v>0</v>
      </c>
      <c r="P469">
        <f>COUNTIFS(Grunnspill!$A:$A,Annex!G469)</f>
        <v>0</v>
      </c>
      <c r="Q469">
        <f>COUNTIFS(Grunnspill!$A:$A,Annex!H469)</f>
        <v>0</v>
      </c>
      <c r="R469">
        <f>COUNTIFS(Grunnspill!$A:$A,Annex!I469)</f>
        <v>0</v>
      </c>
    </row>
    <row r="470" spans="1:18" x14ac:dyDescent="0.2">
      <c r="A470">
        <v>467</v>
      </c>
      <c r="B470" s="1" t="s">
        <v>106</v>
      </c>
      <c r="C470" s="1" t="s">
        <v>103</v>
      </c>
      <c r="D470" s="1" t="s">
        <v>112</v>
      </c>
      <c r="E470" s="1" t="s">
        <v>111</v>
      </c>
      <c r="F470" s="1" t="s">
        <v>113</v>
      </c>
      <c r="G470" s="1" t="s">
        <v>110</v>
      </c>
      <c r="H470" s="1" t="s">
        <v>102</v>
      </c>
      <c r="I470" s="1" t="s">
        <v>109</v>
      </c>
      <c r="J470">
        <f t="shared" ref="J470:J498" si="10">SUM(K470:R470)</f>
        <v>0</v>
      </c>
      <c r="K470">
        <f>COUNTIFS(Grunnspill!$A:$A,Annex!B470)</f>
        <v>0</v>
      </c>
      <c r="L470">
        <f>COUNTIFS(Grunnspill!$A:$A,Annex!C470)</f>
        <v>0</v>
      </c>
      <c r="M470">
        <f>COUNTIFS(Grunnspill!$A:$A,Annex!D470)</f>
        <v>0</v>
      </c>
      <c r="N470">
        <f>COUNTIFS(Grunnspill!$A:$A,Annex!E470)</f>
        <v>0</v>
      </c>
      <c r="O470">
        <f>COUNTIFS(Grunnspill!$A:$A,Annex!F470)</f>
        <v>0</v>
      </c>
      <c r="P470">
        <f>COUNTIFS(Grunnspill!$A:$A,Annex!G470)</f>
        <v>0</v>
      </c>
      <c r="Q470">
        <f>COUNTIFS(Grunnspill!$A:$A,Annex!H470)</f>
        <v>0</v>
      </c>
      <c r="R470">
        <f>COUNTIFS(Grunnspill!$A:$A,Annex!I470)</f>
        <v>0</v>
      </c>
    </row>
    <row r="471" spans="1:18" x14ac:dyDescent="0.2">
      <c r="A471">
        <v>468</v>
      </c>
      <c r="B471" s="1" t="s">
        <v>106</v>
      </c>
      <c r="C471" s="1" t="s">
        <v>102</v>
      </c>
      <c r="D471" s="1" t="s">
        <v>112</v>
      </c>
      <c r="E471" s="1" t="s">
        <v>111</v>
      </c>
      <c r="F471" s="1" t="s">
        <v>113</v>
      </c>
      <c r="G471" s="1" t="s">
        <v>110</v>
      </c>
      <c r="H471" s="1" t="s">
        <v>108</v>
      </c>
      <c r="I471" s="1" t="s">
        <v>104</v>
      </c>
      <c r="J471">
        <f t="shared" si="10"/>
        <v>0</v>
      </c>
      <c r="K471">
        <f>COUNTIFS(Grunnspill!$A:$A,Annex!B471)</f>
        <v>0</v>
      </c>
      <c r="L471">
        <f>COUNTIFS(Grunnspill!$A:$A,Annex!C471)</f>
        <v>0</v>
      </c>
      <c r="M471">
        <f>COUNTIFS(Grunnspill!$A:$A,Annex!D471)</f>
        <v>0</v>
      </c>
      <c r="N471">
        <f>COUNTIFS(Grunnspill!$A:$A,Annex!E471)</f>
        <v>0</v>
      </c>
      <c r="O471">
        <f>COUNTIFS(Grunnspill!$A:$A,Annex!F471)</f>
        <v>0</v>
      </c>
      <c r="P471">
        <f>COUNTIFS(Grunnspill!$A:$A,Annex!G471)</f>
        <v>0</v>
      </c>
      <c r="Q471">
        <f>COUNTIFS(Grunnspill!$A:$A,Annex!H471)</f>
        <v>0</v>
      </c>
      <c r="R471">
        <f>COUNTIFS(Grunnspill!$A:$A,Annex!I471)</f>
        <v>0</v>
      </c>
    </row>
    <row r="472" spans="1:18" x14ac:dyDescent="0.2">
      <c r="A472">
        <v>469</v>
      </c>
      <c r="B472" s="1" t="s">
        <v>106</v>
      </c>
      <c r="C472" s="1" t="s">
        <v>102</v>
      </c>
      <c r="D472" s="1" t="s">
        <v>112</v>
      </c>
      <c r="E472" s="1" t="s">
        <v>111</v>
      </c>
      <c r="F472" s="1" t="s">
        <v>113</v>
      </c>
      <c r="G472" s="1" t="s">
        <v>110</v>
      </c>
      <c r="H472" s="1" t="s">
        <v>104</v>
      </c>
      <c r="I472" s="1" t="s">
        <v>109</v>
      </c>
      <c r="J472">
        <f t="shared" si="10"/>
        <v>0</v>
      </c>
      <c r="K472">
        <f>COUNTIFS(Grunnspill!$A:$A,Annex!B472)</f>
        <v>0</v>
      </c>
      <c r="L472">
        <f>COUNTIFS(Grunnspill!$A:$A,Annex!C472)</f>
        <v>0</v>
      </c>
      <c r="M472">
        <f>COUNTIFS(Grunnspill!$A:$A,Annex!D472)</f>
        <v>0</v>
      </c>
      <c r="N472">
        <f>COUNTIFS(Grunnspill!$A:$A,Annex!E472)</f>
        <v>0</v>
      </c>
      <c r="O472">
        <f>COUNTIFS(Grunnspill!$A:$A,Annex!F472)</f>
        <v>0</v>
      </c>
      <c r="P472">
        <f>COUNTIFS(Grunnspill!$A:$A,Annex!G472)</f>
        <v>0</v>
      </c>
      <c r="Q472">
        <f>COUNTIFS(Grunnspill!$A:$A,Annex!H472)</f>
        <v>0</v>
      </c>
      <c r="R472">
        <f>COUNTIFS(Grunnspill!$A:$A,Annex!I472)</f>
        <v>0</v>
      </c>
    </row>
    <row r="473" spans="1:18" x14ac:dyDescent="0.2">
      <c r="A473">
        <v>470</v>
      </c>
      <c r="B473" s="1" t="s">
        <v>106</v>
      </c>
      <c r="C473" s="1" t="s">
        <v>103</v>
      </c>
      <c r="D473" s="1" t="s">
        <v>112</v>
      </c>
      <c r="E473" s="1" t="s">
        <v>111</v>
      </c>
      <c r="F473" s="1" t="s">
        <v>113</v>
      </c>
      <c r="G473" s="1" t="s">
        <v>110</v>
      </c>
      <c r="H473" s="1" t="s">
        <v>102</v>
      </c>
      <c r="I473" s="1" t="s">
        <v>104</v>
      </c>
      <c r="J473">
        <f t="shared" si="10"/>
        <v>0</v>
      </c>
      <c r="K473">
        <f>COUNTIFS(Grunnspill!$A:$A,Annex!B473)</f>
        <v>0</v>
      </c>
      <c r="L473">
        <f>COUNTIFS(Grunnspill!$A:$A,Annex!C473)</f>
        <v>0</v>
      </c>
      <c r="M473">
        <f>COUNTIFS(Grunnspill!$A:$A,Annex!D473)</f>
        <v>0</v>
      </c>
      <c r="N473">
        <f>COUNTIFS(Grunnspill!$A:$A,Annex!E473)</f>
        <v>0</v>
      </c>
      <c r="O473">
        <f>COUNTIFS(Grunnspill!$A:$A,Annex!F473)</f>
        <v>0</v>
      </c>
      <c r="P473">
        <f>COUNTIFS(Grunnspill!$A:$A,Annex!G473)</f>
        <v>0</v>
      </c>
      <c r="Q473">
        <f>COUNTIFS(Grunnspill!$A:$A,Annex!H473)</f>
        <v>0</v>
      </c>
      <c r="R473">
        <f>COUNTIFS(Grunnspill!$A:$A,Annex!I473)</f>
        <v>0</v>
      </c>
    </row>
    <row r="474" spans="1:18" x14ac:dyDescent="0.2">
      <c r="A474">
        <v>471</v>
      </c>
      <c r="B474" s="1" t="s">
        <v>102</v>
      </c>
      <c r="C474" s="1" t="s">
        <v>107</v>
      </c>
      <c r="D474" s="1" t="s">
        <v>112</v>
      </c>
      <c r="E474" s="1" t="s">
        <v>111</v>
      </c>
      <c r="F474" s="1" t="s">
        <v>113</v>
      </c>
      <c r="G474" s="1" t="s">
        <v>110</v>
      </c>
      <c r="H474" s="1" t="s">
        <v>108</v>
      </c>
      <c r="I474" s="1" t="s">
        <v>109</v>
      </c>
      <c r="J474">
        <f t="shared" si="10"/>
        <v>0</v>
      </c>
      <c r="K474">
        <f>COUNTIFS(Grunnspill!$A:$A,Annex!B474)</f>
        <v>0</v>
      </c>
      <c r="L474">
        <f>COUNTIFS(Grunnspill!$A:$A,Annex!C474)</f>
        <v>0</v>
      </c>
      <c r="M474">
        <f>COUNTIFS(Grunnspill!$A:$A,Annex!D474)</f>
        <v>0</v>
      </c>
      <c r="N474">
        <f>COUNTIFS(Grunnspill!$A:$A,Annex!E474)</f>
        <v>0</v>
      </c>
      <c r="O474">
        <f>COUNTIFS(Grunnspill!$A:$A,Annex!F474)</f>
        <v>0</v>
      </c>
      <c r="P474">
        <f>COUNTIFS(Grunnspill!$A:$A,Annex!G474)</f>
        <v>0</v>
      </c>
      <c r="Q474">
        <f>COUNTIFS(Grunnspill!$A:$A,Annex!H474)</f>
        <v>0</v>
      </c>
      <c r="R474">
        <f>COUNTIFS(Grunnspill!$A:$A,Annex!I474)</f>
        <v>0</v>
      </c>
    </row>
    <row r="475" spans="1:18" x14ac:dyDescent="0.2">
      <c r="A475">
        <v>472</v>
      </c>
      <c r="B475" s="1" t="s">
        <v>102</v>
      </c>
      <c r="C475" s="1" t="s">
        <v>107</v>
      </c>
      <c r="D475" s="1" t="s">
        <v>112</v>
      </c>
      <c r="E475" s="1" t="s">
        <v>111</v>
      </c>
      <c r="F475" s="1" t="s">
        <v>113</v>
      </c>
      <c r="G475" s="1" t="s">
        <v>110</v>
      </c>
      <c r="H475" s="1" t="s">
        <v>108</v>
      </c>
      <c r="I475" s="1" t="s">
        <v>103</v>
      </c>
      <c r="J475">
        <f t="shared" si="10"/>
        <v>0</v>
      </c>
      <c r="K475">
        <f>COUNTIFS(Grunnspill!$A:$A,Annex!B475)</f>
        <v>0</v>
      </c>
      <c r="L475">
        <f>COUNTIFS(Grunnspill!$A:$A,Annex!C475)</f>
        <v>0</v>
      </c>
      <c r="M475">
        <f>COUNTIFS(Grunnspill!$A:$A,Annex!D475)</f>
        <v>0</v>
      </c>
      <c r="N475">
        <f>COUNTIFS(Grunnspill!$A:$A,Annex!E475)</f>
        <v>0</v>
      </c>
      <c r="O475">
        <f>COUNTIFS(Grunnspill!$A:$A,Annex!F475)</f>
        <v>0</v>
      </c>
      <c r="P475">
        <f>COUNTIFS(Grunnspill!$A:$A,Annex!G475)</f>
        <v>0</v>
      </c>
      <c r="Q475">
        <f>COUNTIFS(Grunnspill!$A:$A,Annex!H475)</f>
        <v>0</v>
      </c>
      <c r="R475">
        <f>COUNTIFS(Grunnspill!$A:$A,Annex!I475)</f>
        <v>0</v>
      </c>
    </row>
    <row r="476" spans="1:18" x14ac:dyDescent="0.2">
      <c r="A476">
        <v>473</v>
      </c>
      <c r="B476" s="1" t="s">
        <v>102</v>
      </c>
      <c r="C476" s="1" t="s">
        <v>107</v>
      </c>
      <c r="D476" s="1" t="s">
        <v>112</v>
      </c>
      <c r="E476" s="1" t="s">
        <v>111</v>
      </c>
      <c r="F476" s="1" t="s">
        <v>113</v>
      </c>
      <c r="G476" s="1" t="s">
        <v>110</v>
      </c>
      <c r="H476" s="1" t="s">
        <v>103</v>
      </c>
      <c r="I476" s="1" t="s">
        <v>109</v>
      </c>
      <c r="J476">
        <f t="shared" si="10"/>
        <v>0</v>
      </c>
      <c r="K476">
        <f>COUNTIFS(Grunnspill!$A:$A,Annex!B476)</f>
        <v>0</v>
      </c>
      <c r="L476">
        <f>COUNTIFS(Grunnspill!$A:$A,Annex!C476)</f>
        <v>0</v>
      </c>
      <c r="M476">
        <f>COUNTIFS(Grunnspill!$A:$A,Annex!D476)</f>
        <v>0</v>
      </c>
      <c r="N476">
        <f>COUNTIFS(Grunnspill!$A:$A,Annex!E476)</f>
        <v>0</v>
      </c>
      <c r="O476">
        <f>COUNTIFS(Grunnspill!$A:$A,Annex!F476)</f>
        <v>0</v>
      </c>
      <c r="P476">
        <f>COUNTIFS(Grunnspill!$A:$A,Annex!G476)</f>
        <v>0</v>
      </c>
      <c r="Q476">
        <f>COUNTIFS(Grunnspill!$A:$A,Annex!H476)</f>
        <v>0</v>
      </c>
      <c r="R476">
        <f>COUNTIFS(Grunnspill!$A:$A,Annex!I476)</f>
        <v>0</v>
      </c>
    </row>
    <row r="477" spans="1:18" x14ac:dyDescent="0.2">
      <c r="A477">
        <v>474</v>
      </c>
      <c r="B477" s="1" t="s">
        <v>102</v>
      </c>
      <c r="C477" s="1" t="s">
        <v>107</v>
      </c>
      <c r="D477" s="1" t="s">
        <v>112</v>
      </c>
      <c r="E477" s="1" t="s">
        <v>111</v>
      </c>
      <c r="F477" s="1" t="s">
        <v>113</v>
      </c>
      <c r="G477" s="1" t="s">
        <v>110</v>
      </c>
      <c r="H477" s="1" t="s">
        <v>108</v>
      </c>
      <c r="I477" s="1" t="s">
        <v>104</v>
      </c>
      <c r="J477">
        <f t="shared" si="10"/>
        <v>0</v>
      </c>
      <c r="K477">
        <f>COUNTIFS(Grunnspill!$A:$A,Annex!B477)</f>
        <v>0</v>
      </c>
      <c r="L477">
        <f>COUNTIFS(Grunnspill!$A:$A,Annex!C477)</f>
        <v>0</v>
      </c>
      <c r="M477">
        <f>COUNTIFS(Grunnspill!$A:$A,Annex!D477)</f>
        <v>0</v>
      </c>
      <c r="N477">
        <f>COUNTIFS(Grunnspill!$A:$A,Annex!E477)</f>
        <v>0</v>
      </c>
      <c r="O477">
        <f>COUNTIFS(Grunnspill!$A:$A,Annex!F477)</f>
        <v>0</v>
      </c>
      <c r="P477">
        <f>COUNTIFS(Grunnspill!$A:$A,Annex!G477)</f>
        <v>0</v>
      </c>
      <c r="Q477">
        <f>COUNTIFS(Grunnspill!$A:$A,Annex!H477)</f>
        <v>0</v>
      </c>
      <c r="R477">
        <f>COUNTIFS(Grunnspill!$A:$A,Annex!I477)</f>
        <v>0</v>
      </c>
    </row>
    <row r="478" spans="1:18" x14ac:dyDescent="0.2">
      <c r="A478">
        <v>475</v>
      </c>
      <c r="B478" s="1" t="s">
        <v>102</v>
      </c>
      <c r="C478" s="1" t="s">
        <v>107</v>
      </c>
      <c r="D478" s="1" t="s">
        <v>112</v>
      </c>
      <c r="E478" s="1" t="s">
        <v>111</v>
      </c>
      <c r="F478" s="1" t="s">
        <v>113</v>
      </c>
      <c r="G478" s="1" t="s">
        <v>110</v>
      </c>
      <c r="H478" s="1" t="s">
        <v>104</v>
      </c>
      <c r="I478" s="1" t="s">
        <v>109</v>
      </c>
      <c r="J478">
        <f t="shared" si="10"/>
        <v>0</v>
      </c>
      <c r="K478">
        <f>COUNTIFS(Grunnspill!$A:$A,Annex!B478)</f>
        <v>0</v>
      </c>
      <c r="L478">
        <f>COUNTIFS(Grunnspill!$A:$A,Annex!C478)</f>
        <v>0</v>
      </c>
      <c r="M478">
        <f>COUNTIFS(Grunnspill!$A:$A,Annex!D478)</f>
        <v>0</v>
      </c>
      <c r="N478">
        <f>COUNTIFS(Grunnspill!$A:$A,Annex!E478)</f>
        <v>0</v>
      </c>
      <c r="O478">
        <f>COUNTIFS(Grunnspill!$A:$A,Annex!F478)</f>
        <v>0</v>
      </c>
      <c r="P478">
        <f>COUNTIFS(Grunnspill!$A:$A,Annex!G478)</f>
        <v>0</v>
      </c>
      <c r="Q478">
        <f>COUNTIFS(Grunnspill!$A:$A,Annex!H478)</f>
        <v>0</v>
      </c>
      <c r="R478">
        <f>COUNTIFS(Grunnspill!$A:$A,Annex!I478)</f>
        <v>0</v>
      </c>
    </row>
    <row r="479" spans="1:18" x14ac:dyDescent="0.2">
      <c r="A479">
        <v>476</v>
      </c>
      <c r="B479" s="1" t="s">
        <v>102</v>
      </c>
      <c r="C479" s="1" t="s">
        <v>107</v>
      </c>
      <c r="D479" s="1" t="s">
        <v>112</v>
      </c>
      <c r="E479" s="1" t="s">
        <v>111</v>
      </c>
      <c r="F479" s="1" t="s">
        <v>113</v>
      </c>
      <c r="G479" s="1" t="s">
        <v>110</v>
      </c>
      <c r="H479" s="1" t="s">
        <v>104</v>
      </c>
      <c r="I479" s="1" t="s">
        <v>103</v>
      </c>
      <c r="J479">
        <f t="shared" si="10"/>
        <v>0</v>
      </c>
      <c r="K479">
        <f>COUNTIFS(Grunnspill!$A:$A,Annex!B479)</f>
        <v>0</v>
      </c>
      <c r="L479">
        <f>COUNTIFS(Grunnspill!$A:$A,Annex!C479)</f>
        <v>0</v>
      </c>
      <c r="M479">
        <f>COUNTIFS(Grunnspill!$A:$A,Annex!D479)</f>
        <v>0</v>
      </c>
      <c r="N479">
        <f>COUNTIFS(Grunnspill!$A:$A,Annex!E479)</f>
        <v>0</v>
      </c>
      <c r="O479">
        <f>COUNTIFS(Grunnspill!$A:$A,Annex!F479)</f>
        <v>0</v>
      </c>
      <c r="P479">
        <f>COUNTIFS(Grunnspill!$A:$A,Annex!G479)</f>
        <v>0</v>
      </c>
      <c r="Q479">
        <f>COUNTIFS(Grunnspill!$A:$A,Annex!H479)</f>
        <v>0</v>
      </c>
      <c r="R479">
        <f>COUNTIFS(Grunnspill!$A:$A,Annex!I479)</f>
        <v>0</v>
      </c>
    </row>
    <row r="480" spans="1:18" x14ac:dyDescent="0.2">
      <c r="A480">
        <v>477</v>
      </c>
      <c r="B480" s="1" t="s">
        <v>106</v>
      </c>
      <c r="C480" s="1" t="s">
        <v>107</v>
      </c>
      <c r="D480" s="1" t="s">
        <v>112</v>
      </c>
      <c r="E480" s="1" t="s">
        <v>111</v>
      </c>
      <c r="F480" s="1" t="s">
        <v>113</v>
      </c>
      <c r="G480" s="1" t="s">
        <v>110</v>
      </c>
      <c r="H480" s="1" t="s">
        <v>108</v>
      </c>
      <c r="I480" s="1" t="s">
        <v>102</v>
      </c>
      <c r="J480">
        <f t="shared" si="10"/>
        <v>0</v>
      </c>
      <c r="K480">
        <f>COUNTIFS(Grunnspill!$A:$A,Annex!B480)</f>
        <v>0</v>
      </c>
      <c r="L480">
        <f>COUNTIFS(Grunnspill!$A:$A,Annex!C480)</f>
        <v>0</v>
      </c>
      <c r="M480">
        <f>COUNTIFS(Grunnspill!$A:$A,Annex!D480)</f>
        <v>0</v>
      </c>
      <c r="N480">
        <f>COUNTIFS(Grunnspill!$A:$A,Annex!E480)</f>
        <v>0</v>
      </c>
      <c r="O480">
        <f>COUNTIFS(Grunnspill!$A:$A,Annex!F480)</f>
        <v>0</v>
      </c>
      <c r="P480">
        <f>COUNTIFS(Grunnspill!$A:$A,Annex!G480)</f>
        <v>0</v>
      </c>
      <c r="Q480">
        <f>COUNTIFS(Grunnspill!$A:$A,Annex!H480)</f>
        <v>0</v>
      </c>
      <c r="R480">
        <f>COUNTIFS(Grunnspill!$A:$A,Annex!I480)</f>
        <v>0</v>
      </c>
    </row>
    <row r="481" spans="1:18" x14ac:dyDescent="0.2">
      <c r="A481">
        <v>478</v>
      </c>
      <c r="B481" s="1" t="s">
        <v>106</v>
      </c>
      <c r="C481" s="1" t="s">
        <v>107</v>
      </c>
      <c r="D481" s="1" t="s">
        <v>112</v>
      </c>
      <c r="E481" s="1" t="s">
        <v>111</v>
      </c>
      <c r="F481" s="1" t="s">
        <v>113</v>
      </c>
      <c r="G481" s="1" t="s">
        <v>110</v>
      </c>
      <c r="H481" s="1" t="s">
        <v>102</v>
      </c>
      <c r="I481" s="1" t="s">
        <v>109</v>
      </c>
      <c r="J481">
        <f t="shared" si="10"/>
        <v>0</v>
      </c>
      <c r="K481">
        <f>COUNTIFS(Grunnspill!$A:$A,Annex!B481)</f>
        <v>0</v>
      </c>
      <c r="L481">
        <f>COUNTIFS(Grunnspill!$A:$A,Annex!C481)</f>
        <v>0</v>
      </c>
      <c r="M481">
        <f>COUNTIFS(Grunnspill!$A:$A,Annex!D481)</f>
        <v>0</v>
      </c>
      <c r="N481">
        <f>COUNTIFS(Grunnspill!$A:$A,Annex!E481)</f>
        <v>0</v>
      </c>
      <c r="O481">
        <f>COUNTIFS(Grunnspill!$A:$A,Annex!F481)</f>
        <v>0</v>
      </c>
      <c r="P481">
        <f>COUNTIFS(Grunnspill!$A:$A,Annex!G481)</f>
        <v>0</v>
      </c>
      <c r="Q481">
        <f>COUNTIFS(Grunnspill!$A:$A,Annex!H481)</f>
        <v>0</v>
      </c>
      <c r="R481">
        <f>COUNTIFS(Grunnspill!$A:$A,Annex!I481)</f>
        <v>0</v>
      </c>
    </row>
    <row r="482" spans="1:18" x14ac:dyDescent="0.2">
      <c r="A482">
        <v>479</v>
      </c>
      <c r="B482" s="1" t="s">
        <v>106</v>
      </c>
      <c r="C482" s="1" t="s">
        <v>107</v>
      </c>
      <c r="D482" s="1" t="s">
        <v>112</v>
      </c>
      <c r="E482" s="1" t="s">
        <v>111</v>
      </c>
      <c r="F482" s="1" t="s">
        <v>113</v>
      </c>
      <c r="G482" s="1" t="s">
        <v>110</v>
      </c>
      <c r="H482" s="1" t="s">
        <v>102</v>
      </c>
      <c r="I482" s="1" t="s">
        <v>103</v>
      </c>
      <c r="J482">
        <f t="shared" si="10"/>
        <v>0</v>
      </c>
      <c r="K482">
        <f>COUNTIFS(Grunnspill!$A:$A,Annex!B482)</f>
        <v>0</v>
      </c>
      <c r="L482">
        <f>COUNTIFS(Grunnspill!$A:$A,Annex!C482)</f>
        <v>0</v>
      </c>
      <c r="M482">
        <f>COUNTIFS(Grunnspill!$A:$A,Annex!D482)</f>
        <v>0</v>
      </c>
      <c r="N482">
        <f>COUNTIFS(Grunnspill!$A:$A,Annex!E482)</f>
        <v>0</v>
      </c>
      <c r="O482">
        <f>COUNTIFS(Grunnspill!$A:$A,Annex!F482)</f>
        <v>0</v>
      </c>
      <c r="P482">
        <f>COUNTIFS(Grunnspill!$A:$A,Annex!G482)</f>
        <v>0</v>
      </c>
      <c r="Q482">
        <f>COUNTIFS(Grunnspill!$A:$A,Annex!H482)</f>
        <v>0</v>
      </c>
      <c r="R482">
        <f>COUNTIFS(Grunnspill!$A:$A,Annex!I482)</f>
        <v>0</v>
      </c>
    </row>
    <row r="483" spans="1:18" x14ac:dyDescent="0.2">
      <c r="A483">
        <v>480</v>
      </c>
      <c r="B483" s="1" t="s">
        <v>106</v>
      </c>
      <c r="C483" s="1" t="s">
        <v>107</v>
      </c>
      <c r="D483" s="1" t="s">
        <v>112</v>
      </c>
      <c r="E483" s="1" t="s">
        <v>111</v>
      </c>
      <c r="F483" s="1" t="s">
        <v>113</v>
      </c>
      <c r="G483" s="1" t="s">
        <v>110</v>
      </c>
      <c r="H483" s="1" t="s">
        <v>102</v>
      </c>
      <c r="I483" s="1" t="s">
        <v>104</v>
      </c>
      <c r="J483">
        <f t="shared" si="10"/>
        <v>0</v>
      </c>
      <c r="K483">
        <f>COUNTIFS(Grunnspill!$A:$A,Annex!B483)</f>
        <v>0</v>
      </c>
      <c r="L483">
        <f>COUNTIFS(Grunnspill!$A:$A,Annex!C483)</f>
        <v>0</v>
      </c>
      <c r="M483">
        <f>COUNTIFS(Grunnspill!$A:$A,Annex!D483)</f>
        <v>0</v>
      </c>
      <c r="N483">
        <f>COUNTIFS(Grunnspill!$A:$A,Annex!E483)</f>
        <v>0</v>
      </c>
      <c r="O483">
        <f>COUNTIFS(Grunnspill!$A:$A,Annex!F483)</f>
        <v>0</v>
      </c>
      <c r="P483">
        <f>COUNTIFS(Grunnspill!$A:$A,Annex!G483)</f>
        <v>0</v>
      </c>
      <c r="Q483">
        <f>COUNTIFS(Grunnspill!$A:$A,Annex!H483)</f>
        <v>0</v>
      </c>
      <c r="R483">
        <f>COUNTIFS(Grunnspill!$A:$A,Annex!I483)</f>
        <v>0</v>
      </c>
    </row>
    <row r="484" spans="1:18" x14ac:dyDescent="0.2">
      <c r="A484">
        <v>481</v>
      </c>
      <c r="B484" s="1" t="s">
        <v>111</v>
      </c>
      <c r="C484" s="1" t="s">
        <v>102</v>
      </c>
      <c r="D484" s="1" t="s">
        <v>112</v>
      </c>
      <c r="E484" s="1" t="s">
        <v>110</v>
      </c>
      <c r="F484" s="1" t="s">
        <v>113</v>
      </c>
      <c r="G484" s="1" t="s">
        <v>105</v>
      </c>
      <c r="H484" s="1" t="s">
        <v>108</v>
      </c>
      <c r="I484" s="1" t="s">
        <v>109</v>
      </c>
      <c r="J484">
        <f t="shared" si="10"/>
        <v>0</v>
      </c>
      <c r="K484">
        <f>COUNTIFS(Grunnspill!$A:$A,Annex!B484)</f>
        <v>0</v>
      </c>
      <c r="L484">
        <f>COUNTIFS(Grunnspill!$A:$A,Annex!C484)</f>
        <v>0</v>
      </c>
      <c r="M484">
        <f>COUNTIFS(Grunnspill!$A:$A,Annex!D484)</f>
        <v>0</v>
      </c>
      <c r="N484">
        <f>COUNTIFS(Grunnspill!$A:$A,Annex!E484)</f>
        <v>0</v>
      </c>
      <c r="O484">
        <f>COUNTIFS(Grunnspill!$A:$A,Annex!F484)</f>
        <v>0</v>
      </c>
      <c r="P484">
        <f>COUNTIFS(Grunnspill!$A:$A,Annex!G484)</f>
        <v>0</v>
      </c>
      <c r="Q484">
        <f>COUNTIFS(Grunnspill!$A:$A,Annex!H484)</f>
        <v>0</v>
      </c>
      <c r="R484">
        <f>COUNTIFS(Grunnspill!$A:$A,Annex!I484)</f>
        <v>0</v>
      </c>
    </row>
    <row r="485" spans="1:18" x14ac:dyDescent="0.2">
      <c r="A485">
        <v>482</v>
      </c>
      <c r="B485" s="1" t="s">
        <v>111</v>
      </c>
      <c r="C485" s="1" t="s">
        <v>103</v>
      </c>
      <c r="D485" s="1" t="s">
        <v>112</v>
      </c>
      <c r="E485" s="1" t="s">
        <v>110</v>
      </c>
      <c r="F485" s="1" t="s">
        <v>113</v>
      </c>
      <c r="G485" s="1" t="s">
        <v>105</v>
      </c>
      <c r="H485" s="1" t="s">
        <v>108</v>
      </c>
      <c r="I485" s="1" t="s">
        <v>102</v>
      </c>
      <c r="J485">
        <f t="shared" si="10"/>
        <v>0</v>
      </c>
      <c r="K485">
        <f>COUNTIFS(Grunnspill!$A:$A,Annex!B485)</f>
        <v>0</v>
      </c>
      <c r="L485">
        <f>COUNTIFS(Grunnspill!$A:$A,Annex!C485)</f>
        <v>0</v>
      </c>
      <c r="M485">
        <f>COUNTIFS(Grunnspill!$A:$A,Annex!D485)</f>
        <v>0</v>
      </c>
      <c r="N485">
        <f>COUNTIFS(Grunnspill!$A:$A,Annex!E485)</f>
        <v>0</v>
      </c>
      <c r="O485">
        <f>COUNTIFS(Grunnspill!$A:$A,Annex!F485)</f>
        <v>0</v>
      </c>
      <c r="P485">
        <f>COUNTIFS(Grunnspill!$A:$A,Annex!G485)</f>
        <v>0</v>
      </c>
      <c r="Q485">
        <f>COUNTIFS(Grunnspill!$A:$A,Annex!H485)</f>
        <v>0</v>
      </c>
      <c r="R485">
        <f>COUNTIFS(Grunnspill!$A:$A,Annex!I485)</f>
        <v>0</v>
      </c>
    </row>
    <row r="486" spans="1:18" x14ac:dyDescent="0.2">
      <c r="A486">
        <v>483</v>
      </c>
      <c r="B486" s="1" t="s">
        <v>111</v>
      </c>
      <c r="C486" s="1" t="s">
        <v>103</v>
      </c>
      <c r="D486" s="1" t="s">
        <v>112</v>
      </c>
      <c r="E486" s="1" t="s">
        <v>110</v>
      </c>
      <c r="F486" s="1" t="s">
        <v>113</v>
      </c>
      <c r="G486" s="1" t="s">
        <v>105</v>
      </c>
      <c r="H486" s="1" t="s">
        <v>102</v>
      </c>
      <c r="I486" s="1" t="s">
        <v>109</v>
      </c>
      <c r="J486">
        <f t="shared" si="10"/>
        <v>0</v>
      </c>
      <c r="K486">
        <f>COUNTIFS(Grunnspill!$A:$A,Annex!B486)</f>
        <v>0</v>
      </c>
      <c r="L486">
        <f>COUNTIFS(Grunnspill!$A:$A,Annex!C486)</f>
        <v>0</v>
      </c>
      <c r="M486">
        <f>COUNTIFS(Grunnspill!$A:$A,Annex!D486)</f>
        <v>0</v>
      </c>
      <c r="N486">
        <f>COUNTIFS(Grunnspill!$A:$A,Annex!E486)</f>
        <v>0</v>
      </c>
      <c r="O486">
        <f>COUNTIFS(Grunnspill!$A:$A,Annex!F486)</f>
        <v>0</v>
      </c>
      <c r="P486">
        <f>COUNTIFS(Grunnspill!$A:$A,Annex!G486)</f>
        <v>0</v>
      </c>
      <c r="Q486">
        <f>COUNTIFS(Grunnspill!$A:$A,Annex!H486)</f>
        <v>0</v>
      </c>
      <c r="R486">
        <f>COUNTIFS(Grunnspill!$A:$A,Annex!I486)</f>
        <v>0</v>
      </c>
    </row>
    <row r="487" spans="1:18" x14ac:dyDescent="0.2">
      <c r="A487">
        <v>484</v>
      </c>
      <c r="B487" s="1" t="s">
        <v>111</v>
      </c>
      <c r="C487" s="1" t="s">
        <v>102</v>
      </c>
      <c r="D487" s="1" t="s">
        <v>112</v>
      </c>
      <c r="E487" s="1" t="s">
        <v>110</v>
      </c>
      <c r="F487" s="1" t="s">
        <v>113</v>
      </c>
      <c r="G487" s="1" t="s">
        <v>105</v>
      </c>
      <c r="H487" s="1" t="s">
        <v>108</v>
      </c>
      <c r="I487" s="1" t="s">
        <v>104</v>
      </c>
      <c r="J487">
        <f t="shared" si="10"/>
        <v>0</v>
      </c>
      <c r="K487">
        <f>COUNTIFS(Grunnspill!$A:$A,Annex!B487)</f>
        <v>0</v>
      </c>
      <c r="L487">
        <f>COUNTIFS(Grunnspill!$A:$A,Annex!C487)</f>
        <v>0</v>
      </c>
      <c r="M487">
        <f>COUNTIFS(Grunnspill!$A:$A,Annex!D487)</f>
        <v>0</v>
      </c>
      <c r="N487">
        <f>COUNTIFS(Grunnspill!$A:$A,Annex!E487)</f>
        <v>0</v>
      </c>
      <c r="O487">
        <f>COUNTIFS(Grunnspill!$A:$A,Annex!F487)</f>
        <v>0</v>
      </c>
      <c r="P487">
        <f>COUNTIFS(Grunnspill!$A:$A,Annex!G487)</f>
        <v>0</v>
      </c>
      <c r="Q487">
        <f>COUNTIFS(Grunnspill!$A:$A,Annex!H487)</f>
        <v>0</v>
      </c>
      <c r="R487">
        <f>COUNTIFS(Grunnspill!$A:$A,Annex!I487)</f>
        <v>0</v>
      </c>
    </row>
    <row r="488" spans="1:18" x14ac:dyDescent="0.2">
      <c r="A488">
        <v>485</v>
      </c>
      <c r="B488" s="1" t="s">
        <v>111</v>
      </c>
      <c r="C488" s="1" t="s">
        <v>102</v>
      </c>
      <c r="D488" s="1" t="s">
        <v>112</v>
      </c>
      <c r="E488" s="1" t="s">
        <v>110</v>
      </c>
      <c r="F488" s="1" t="s">
        <v>113</v>
      </c>
      <c r="G488" s="1" t="s">
        <v>105</v>
      </c>
      <c r="H488" s="1" t="s">
        <v>104</v>
      </c>
      <c r="I488" s="1" t="s">
        <v>109</v>
      </c>
      <c r="J488">
        <f t="shared" si="10"/>
        <v>0</v>
      </c>
      <c r="K488">
        <f>COUNTIFS(Grunnspill!$A:$A,Annex!B488)</f>
        <v>0</v>
      </c>
      <c r="L488">
        <f>COUNTIFS(Grunnspill!$A:$A,Annex!C488)</f>
        <v>0</v>
      </c>
      <c r="M488">
        <f>COUNTIFS(Grunnspill!$A:$A,Annex!D488)</f>
        <v>0</v>
      </c>
      <c r="N488">
        <f>COUNTIFS(Grunnspill!$A:$A,Annex!E488)</f>
        <v>0</v>
      </c>
      <c r="O488">
        <f>COUNTIFS(Grunnspill!$A:$A,Annex!F488)</f>
        <v>0</v>
      </c>
      <c r="P488">
        <f>COUNTIFS(Grunnspill!$A:$A,Annex!G488)</f>
        <v>0</v>
      </c>
      <c r="Q488">
        <f>COUNTIFS(Grunnspill!$A:$A,Annex!H488)</f>
        <v>0</v>
      </c>
      <c r="R488">
        <f>COUNTIFS(Grunnspill!$A:$A,Annex!I488)</f>
        <v>0</v>
      </c>
    </row>
    <row r="489" spans="1:18" x14ac:dyDescent="0.2">
      <c r="A489">
        <v>486</v>
      </c>
      <c r="B489" s="1" t="s">
        <v>111</v>
      </c>
      <c r="C489" s="1" t="s">
        <v>103</v>
      </c>
      <c r="D489" s="1" t="s">
        <v>112</v>
      </c>
      <c r="E489" s="1" t="s">
        <v>110</v>
      </c>
      <c r="F489" s="1" t="s">
        <v>113</v>
      </c>
      <c r="G489" s="1" t="s">
        <v>105</v>
      </c>
      <c r="H489" s="1" t="s">
        <v>102</v>
      </c>
      <c r="I489" s="1" t="s">
        <v>104</v>
      </c>
      <c r="J489">
        <f t="shared" si="10"/>
        <v>0</v>
      </c>
      <c r="K489">
        <f>COUNTIFS(Grunnspill!$A:$A,Annex!B489)</f>
        <v>0</v>
      </c>
      <c r="L489">
        <f>COUNTIFS(Grunnspill!$A:$A,Annex!C489)</f>
        <v>0</v>
      </c>
      <c r="M489">
        <f>COUNTIFS(Grunnspill!$A:$A,Annex!D489)</f>
        <v>0</v>
      </c>
      <c r="N489">
        <f>COUNTIFS(Grunnspill!$A:$A,Annex!E489)</f>
        <v>0</v>
      </c>
      <c r="O489">
        <f>COUNTIFS(Grunnspill!$A:$A,Annex!F489)</f>
        <v>0</v>
      </c>
      <c r="P489">
        <f>COUNTIFS(Grunnspill!$A:$A,Annex!G489)</f>
        <v>0</v>
      </c>
      <c r="Q489">
        <f>COUNTIFS(Grunnspill!$A:$A,Annex!H489)</f>
        <v>0</v>
      </c>
      <c r="R489">
        <f>COUNTIFS(Grunnspill!$A:$A,Annex!I489)</f>
        <v>0</v>
      </c>
    </row>
    <row r="490" spans="1:18" x14ac:dyDescent="0.2">
      <c r="A490">
        <v>487</v>
      </c>
      <c r="B490" s="1" t="s">
        <v>106</v>
      </c>
      <c r="C490" s="1" t="s">
        <v>105</v>
      </c>
      <c r="D490" s="1" t="s">
        <v>112</v>
      </c>
      <c r="E490" s="1" t="s">
        <v>111</v>
      </c>
      <c r="F490" s="1" t="s">
        <v>113</v>
      </c>
      <c r="G490" s="1" t="s">
        <v>110</v>
      </c>
      <c r="H490" s="1" t="s">
        <v>108</v>
      </c>
      <c r="I490" s="1" t="s">
        <v>102</v>
      </c>
      <c r="J490">
        <f t="shared" si="10"/>
        <v>0</v>
      </c>
      <c r="K490">
        <f>COUNTIFS(Grunnspill!$A:$A,Annex!B490)</f>
        <v>0</v>
      </c>
      <c r="L490">
        <f>COUNTIFS(Grunnspill!$A:$A,Annex!C490)</f>
        <v>0</v>
      </c>
      <c r="M490">
        <f>COUNTIFS(Grunnspill!$A:$A,Annex!D490)</f>
        <v>0</v>
      </c>
      <c r="N490">
        <f>COUNTIFS(Grunnspill!$A:$A,Annex!E490)</f>
        <v>0</v>
      </c>
      <c r="O490">
        <f>COUNTIFS(Grunnspill!$A:$A,Annex!F490)</f>
        <v>0</v>
      </c>
      <c r="P490">
        <f>COUNTIFS(Grunnspill!$A:$A,Annex!G490)</f>
        <v>0</v>
      </c>
      <c r="Q490">
        <f>COUNTIFS(Grunnspill!$A:$A,Annex!H490)</f>
        <v>0</v>
      </c>
      <c r="R490">
        <f>COUNTIFS(Grunnspill!$A:$A,Annex!I490)</f>
        <v>0</v>
      </c>
    </row>
    <row r="491" spans="1:18" x14ac:dyDescent="0.2">
      <c r="A491">
        <v>488</v>
      </c>
      <c r="B491" s="1" t="s">
        <v>106</v>
      </c>
      <c r="C491" s="1" t="s">
        <v>102</v>
      </c>
      <c r="D491" s="1" t="s">
        <v>112</v>
      </c>
      <c r="E491" s="1" t="s">
        <v>111</v>
      </c>
      <c r="F491" s="1" t="s">
        <v>113</v>
      </c>
      <c r="G491" s="1" t="s">
        <v>105</v>
      </c>
      <c r="H491" s="1" t="s">
        <v>110</v>
      </c>
      <c r="I491" s="1" t="s">
        <v>109</v>
      </c>
      <c r="J491">
        <f t="shared" si="10"/>
        <v>0</v>
      </c>
      <c r="K491">
        <f>COUNTIFS(Grunnspill!$A:$A,Annex!B491)</f>
        <v>0</v>
      </c>
      <c r="L491">
        <f>COUNTIFS(Grunnspill!$A:$A,Annex!C491)</f>
        <v>0</v>
      </c>
      <c r="M491">
        <f>COUNTIFS(Grunnspill!$A:$A,Annex!D491)</f>
        <v>0</v>
      </c>
      <c r="N491">
        <f>COUNTIFS(Grunnspill!$A:$A,Annex!E491)</f>
        <v>0</v>
      </c>
      <c r="O491">
        <f>COUNTIFS(Grunnspill!$A:$A,Annex!F491)</f>
        <v>0</v>
      </c>
      <c r="P491">
        <f>COUNTIFS(Grunnspill!$A:$A,Annex!G491)</f>
        <v>0</v>
      </c>
      <c r="Q491">
        <f>COUNTIFS(Grunnspill!$A:$A,Annex!H491)</f>
        <v>0</v>
      </c>
      <c r="R491">
        <f>COUNTIFS(Grunnspill!$A:$A,Annex!I491)</f>
        <v>0</v>
      </c>
    </row>
    <row r="492" spans="1:18" x14ac:dyDescent="0.2">
      <c r="A492">
        <v>489</v>
      </c>
      <c r="B492" s="1" t="s">
        <v>106</v>
      </c>
      <c r="C492" s="1" t="s">
        <v>103</v>
      </c>
      <c r="D492" s="1" t="s">
        <v>112</v>
      </c>
      <c r="E492" s="1" t="s">
        <v>111</v>
      </c>
      <c r="F492" s="1" t="s">
        <v>113</v>
      </c>
      <c r="G492" s="1" t="s">
        <v>105</v>
      </c>
      <c r="H492" s="1" t="s">
        <v>110</v>
      </c>
      <c r="I492" s="1" t="s">
        <v>102</v>
      </c>
      <c r="J492">
        <f t="shared" si="10"/>
        <v>0</v>
      </c>
      <c r="K492">
        <f>COUNTIFS(Grunnspill!$A:$A,Annex!B492)</f>
        <v>0</v>
      </c>
      <c r="L492">
        <f>COUNTIFS(Grunnspill!$A:$A,Annex!C492)</f>
        <v>0</v>
      </c>
      <c r="M492">
        <f>COUNTIFS(Grunnspill!$A:$A,Annex!D492)</f>
        <v>0</v>
      </c>
      <c r="N492">
        <f>COUNTIFS(Grunnspill!$A:$A,Annex!E492)</f>
        <v>0</v>
      </c>
      <c r="O492">
        <f>COUNTIFS(Grunnspill!$A:$A,Annex!F492)</f>
        <v>0</v>
      </c>
      <c r="P492">
        <f>COUNTIFS(Grunnspill!$A:$A,Annex!G492)</f>
        <v>0</v>
      </c>
      <c r="Q492">
        <f>COUNTIFS(Grunnspill!$A:$A,Annex!H492)</f>
        <v>0</v>
      </c>
      <c r="R492">
        <f>COUNTIFS(Grunnspill!$A:$A,Annex!I492)</f>
        <v>0</v>
      </c>
    </row>
    <row r="493" spans="1:18" x14ac:dyDescent="0.2">
      <c r="A493">
        <v>490</v>
      </c>
      <c r="B493" s="1" t="s">
        <v>106</v>
      </c>
      <c r="C493" s="1" t="s">
        <v>102</v>
      </c>
      <c r="D493" s="1" t="s">
        <v>112</v>
      </c>
      <c r="E493" s="1" t="s">
        <v>111</v>
      </c>
      <c r="F493" s="1" t="s">
        <v>113</v>
      </c>
      <c r="G493" s="1" t="s">
        <v>105</v>
      </c>
      <c r="H493" s="1" t="s">
        <v>110</v>
      </c>
      <c r="I493" s="1" t="s">
        <v>104</v>
      </c>
      <c r="J493">
        <f t="shared" si="10"/>
        <v>0</v>
      </c>
      <c r="K493">
        <f>COUNTIFS(Grunnspill!$A:$A,Annex!B493)</f>
        <v>0</v>
      </c>
      <c r="L493">
        <f>COUNTIFS(Grunnspill!$A:$A,Annex!C493)</f>
        <v>0</v>
      </c>
      <c r="M493">
        <f>COUNTIFS(Grunnspill!$A:$A,Annex!D493)</f>
        <v>0</v>
      </c>
      <c r="N493">
        <f>COUNTIFS(Grunnspill!$A:$A,Annex!E493)</f>
        <v>0</v>
      </c>
      <c r="O493">
        <f>COUNTIFS(Grunnspill!$A:$A,Annex!F493)</f>
        <v>0</v>
      </c>
      <c r="P493">
        <f>COUNTIFS(Grunnspill!$A:$A,Annex!G493)</f>
        <v>0</v>
      </c>
      <c r="Q493">
        <f>COUNTIFS(Grunnspill!$A:$A,Annex!H493)</f>
        <v>0</v>
      </c>
      <c r="R493">
        <f>COUNTIFS(Grunnspill!$A:$A,Annex!I493)</f>
        <v>0</v>
      </c>
    </row>
    <row r="494" spans="1:18" x14ac:dyDescent="0.2">
      <c r="A494">
        <v>491</v>
      </c>
      <c r="B494" s="1" t="s">
        <v>111</v>
      </c>
      <c r="C494" s="1" t="s">
        <v>107</v>
      </c>
      <c r="D494" s="1" t="s">
        <v>112</v>
      </c>
      <c r="E494" s="1" t="s">
        <v>110</v>
      </c>
      <c r="F494" s="1" t="s">
        <v>113</v>
      </c>
      <c r="G494" s="1" t="s">
        <v>105</v>
      </c>
      <c r="H494" s="1" t="s">
        <v>108</v>
      </c>
      <c r="I494" s="1" t="s">
        <v>102</v>
      </c>
      <c r="J494">
        <f t="shared" si="10"/>
        <v>0</v>
      </c>
      <c r="K494">
        <f>COUNTIFS(Grunnspill!$A:$A,Annex!B494)</f>
        <v>0</v>
      </c>
      <c r="L494">
        <f>COUNTIFS(Grunnspill!$A:$A,Annex!C494)</f>
        <v>0</v>
      </c>
      <c r="M494">
        <f>COUNTIFS(Grunnspill!$A:$A,Annex!D494)</f>
        <v>0</v>
      </c>
      <c r="N494">
        <f>COUNTIFS(Grunnspill!$A:$A,Annex!E494)</f>
        <v>0</v>
      </c>
      <c r="O494">
        <f>COUNTIFS(Grunnspill!$A:$A,Annex!F494)</f>
        <v>0</v>
      </c>
      <c r="P494">
        <f>COUNTIFS(Grunnspill!$A:$A,Annex!G494)</f>
        <v>0</v>
      </c>
      <c r="Q494">
        <f>COUNTIFS(Grunnspill!$A:$A,Annex!H494)</f>
        <v>0</v>
      </c>
      <c r="R494">
        <f>COUNTIFS(Grunnspill!$A:$A,Annex!I494)</f>
        <v>0</v>
      </c>
    </row>
    <row r="495" spans="1:18" x14ac:dyDescent="0.2">
      <c r="A495">
        <v>492</v>
      </c>
      <c r="B495" s="1" t="s">
        <v>111</v>
      </c>
      <c r="C495" s="1" t="s">
        <v>107</v>
      </c>
      <c r="D495" s="1" t="s">
        <v>112</v>
      </c>
      <c r="E495" s="1" t="s">
        <v>110</v>
      </c>
      <c r="F495" s="1" t="s">
        <v>113</v>
      </c>
      <c r="G495" s="1" t="s">
        <v>105</v>
      </c>
      <c r="H495" s="1" t="s">
        <v>102</v>
      </c>
      <c r="I495" s="1" t="s">
        <v>109</v>
      </c>
      <c r="J495">
        <f t="shared" si="10"/>
        <v>0</v>
      </c>
      <c r="K495">
        <f>COUNTIFS(Grunnspill!$A:$A,Annex!B495)</f>
        <v>0</v>
      </c>
      <c r="L495">
        <f>COUNTIFS(Grunnspill!$A:$A,Annex!C495)</f>
        <v>0</v>
      </c>
      <c r="M495">
        <f>COUNTIFS(Grunnspill!$A:$A,Annex!D495)</f>
        <v>0</v>
      </c>
      <c r="N495">
        <f>COUNTIFS(Grunnspill!$A:$A,Annex!E495)</f>
        <v>0</v>
      </c>
      <c r="O495">
        <f>COUNTIFS(Grunnspill!$A:$A,Annex!F495)</f>
        <v>0</v>
      </c>
      <c r="P495">
        <f>COUNTIFS(Grunnspill!$A:$A,Annex!G495)</f>
        <v>0</v>
      </c>
      <c r="Q495">
        <f>COUNTIFS(Grunnspill!$A:$A,Annex!H495)</f>
        <v>0</v>
      </c>
      <c r="R495">
        <f>COUNTIFS(Grunnspill!$A:$A,Annex!I495)</f>
        <v>0</v>
      </c>
    </row>
    <row r="496" spans="1:18" x14ac:dyDescent="0.2">
      <c r="A496">
        <v>493</v>
      </c>
      <c r="B496" s="1" t="s">
        <v>111</v>
      </c>
      <c r="C496" s="1" t="s">
        <v>107</v>
      </c>
      <c r="D496" s="1" t="s">
        <v>112</v>
      </c>
      <c r="E496" s="1" t="s">
        <v>110</v>
      </c>
      <c r="F496" s="1" t="s">
        <v>113</v>
      </c>
      <c r="G496" s="1" t="s">
        <v>105</v>
      </c>
      <c r="H496" s="1" t="s">
        <v>102</v>
      </c>
      <c r="I496" s="1" t="s">
        <v>103</v>
      </c>
      <c r="J496">
        <f t="shared" si="10"/>
        <v>0</v>
      </c>
      <c r="K496">
        <f>COUNTIFS(Grunnspill!$A:$A,Annex!B496)</f>
        <v>0</v>
      </c>
      <c r="L496">
        <f>COUNTIFS(Grunnspill!$A:$A,Annex!C496)</f>
        <v>0</v>
      </c>
      <c r="M496">
        <f>COUNTIFS(Grunnspill!$A:$A,Annex!D496)</f>
        <v>0</v>
      </c>
      <c r="N496">
        <f>COUNTIFS(Grunnspill!$A:$A,Annex!E496)</f>
        <v>0</v>
      </c>
      <c r="O496">
        <f>COUNTIFS(Grunnspill!$A:$A,Annex!F496)</f>
        <v>0</v>
      </c>
      <c r="P496">
        <f>COUNTIFS(Grunnspill!$A:$A,Annex!G496)</f>
        <v>0</v>
      </c>
      <c r="Q496">
        <f>COUNTIFS(Grunnspill!$A:$A,Annex!H496)</f>
        <v>0</v>
      </c>
      <c r="R496">
        <f>COUNTIFS(Grunnspill!$A:$A,Annex!I496)</f>
        <v>0</v>
      </c>
    </row>
    <row r="497" spans="1:18" x14ac:dyDescent="0.2">
      <c r="A497">
        <v>494</v>
      </c>
      <c r="B497" s="1" t="s">
        <v>111</v>
      </c>
      <c r="C497" s="1" t="s">
        <v>107</v>
      </c>
      <c r="D497" s="1" t="s">
        <v>112</v>
      </c>
      <c r="E497" s="1" t="s">
        <v>110</v>
      </c>
      <c r="F497" s="1" t="s">
        <v>113</v>
      </c>
      <c r="G497" s="1" t="s">
        <v>105</v>
      </c>
      <c r="H497" s="1" t="s">
        <v>102</v>
      </c>
      <c r="I497" s="1" t="s">
        <v>104</v>
      </c>
      <c r="J497">
        <f t="shared" si="10"/>
        <v>0</v>
      </c>
      <c r="K497">
        <f>COUNTIFS(Grunnspill!$A:$A,Annex!B497)</f>
        <v>0</v>
      </c>
      <c r="L497">
        <f>COUNTIFS(Grunnspill!$A:$A,Annex!C497)</f>
        <v>0</v>
      </c>
      <c r="M497">
        <f>COUNTIFS(Grunnspill!$A:$A,Annex!D497)</f>
        <v>0</v>
      </c>
      <c r="N497">
        <f>COUNTIFS(Grunnspill!$A:$A,Annex!E497)</f>
        <v>0</v>
      </c>
      <c r="O497">
        <f>COUNTIFS(Grunnspill!$A:$A,Annex!F497)</f>
        <v>0</v>
      </c>
      <c r="P497">
        <f>COUNTIFS(Grunnspill!$A:$A,Annex!G497)</f>
        <v>0</v>
      </c>
      <c r="Q497">
        <f>COUNTIFS(Grunnspill!$A:$A,Annex!H497)</f>
        <v>0</v>
      </c>
      <c r="R497">
        <f>COUNTIFS(Grunnspill!$A:$A,Annex!I497)</f>
        <v>0</v>
      </c>
    </row>
    <row r="498" spans="1:18" x14ac:dyDescent="0.2">
      <c r="A498">
        <v>495</v>
      </c>
      <c r="B498" s="1" t="s">
        <v>106</v>
      </c>
      <c r="C498" s="1" t="s">
        <v>107</v>
      </c>
      <c r="D498" s="1" t="s">
        <v>112</v>
      </c>
      <c r="E498" s="1" t="s">
        <v>111</v>
      </c>
      <c r="F498" s="1" t="s">
        <v>113</v>
      </c>
      <c r="G498" s="1" t="s">
        <v>105</v>
      </c>
      <c r="H498" s="1" t="s">
        <v>110</v>
      </c>
      <c r="I498" s="1" t="s">
        <v>102</v>
      </c>
      <c r="J498">
        <f t="shared" si="10"/>
        <v>0</v>
      </c>
      <c r="K498">
        <f>COUNTIFS(Grunnspill!$A:$A,Annex!B498)</f>
        <v>0</v>
      </c>
      <c r="L498">
        <f>COUNTIFS(Grunnspill!$A:$A,Annex!C498)</f>
        <v>0</v>
      </c>
      <c r="M498">
        <f>COUNTIFS(Grunnspill!$A:$A,Annex!D498)</f>
        <v>0</v>
      </c>
      <c r="N498">
        <f>COUNTIFS(Grunnspill!$A:$A,Annex!E498)</f>
        <v>0</v>
      </c>
      <c r="O498">
        <f>COUNTIFS(Grunnspill!$A:$A,Annex!F498)</f>
        <v>0</v>
      </c>
      <c r="P498">
        <f>COUNTIFS(Grunnspill!$A:$A,Annex!G498)</f>
        <v>0</v>
      </c>
      <c r="Q498">
        <f>COUNTIFS(Grunnspill!$A:$A,Annex!H498)</f>
        <v>0</v>
      </c>
      <c r="R498">
        <f>COUNTIFS(Grunnspill!$A:$A,Annex!I498)</f>
        <v>0</v>
      </c>
    </row>
  </sheetData>
  <sheetProtection sheet="1" objects="1" scenarios="1" autoFilter="0"/>
  <autoFilter ref="A4:R498" xr:uid="{4F604D1F-8B99-468A-8149-FBFEC4510A3D}"/>
  <conditionalFormatting sqref="A4:R498">
    <cfRule type="expression" dxfId="0" priority="2">
      <formula>$J4=8</formula>
    </cfRule>
  </conditionalFormatting>
  <conditionalFormatting sqref="J4:J49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7:AA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Grunnspill</vt:lpstr>
      <vt:lpstr>16f</vt:lpstr>
      <vt:lpstr>8f</vt:lpstr>
      <vt:lpstr>4f</vt:lpstr>
      <vt:lpstr>2f</vt:lpstr>
      <vt:lpstr>Finale</vt:lpstr>
      <vt:lpstr>Annex</vt:lpstr>
    </vt:vector>
  </TitlesOfParts>
  <Manager/>
  <Company>NMBU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Øystein Dahl</dc:creator>
  <cp:keywords/>
  <dc:description/>
  <cp:lastModifiedBy>Simen Guttormsen</cp:lastModifiedBy>
  <cp:revision/>
  <dcterms:created xsi:type="dcterms:W3CDTF">2026-06-04T21:16:27Z</dcterms:created>
  <dcterms:modified xsi:type="dcterms:W3CDTF">2026-06-11T19:33:57Z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2026-06-05T00:01:42Z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0b69cd9f-8bfd-477d-a221-d13c98a7cd59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